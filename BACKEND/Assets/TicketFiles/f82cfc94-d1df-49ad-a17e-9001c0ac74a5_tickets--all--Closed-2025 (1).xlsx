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-DEC" sheetId="1" r:id="rId4"/>
    <sheet state="visible" name="Stats" sheetId="2" r:id="rId5"/>
  </sheets>
  <definedNames/>
  <calcPr/>
  <extLst>
    <ext uri="GoogleSheetsCustomDataVersion2">
      <go:sheetsCustomData xmlns:go="http://customooxmlschemas.google.com/" r:id="rId6" roundtripDataChecksum="FjaTXVDREYwgOZZFpUfjuq6ywCPSio86qVdktnWxmoI="/>
    </ext>
  </extLst>
</workbook>
</file>

<file path=xl/sharedStrings.xml><?xml version="1.0" encoding="utf-8"?>
<sst xmlns="http://schemas.openxmlformats.org/spreadsheetml/2006/main" count="1744" uniqueCount="659">
  <si>
    <t>-all- (Closed)</t>
  </si>
  <si>
    <t>#</t>
  </si>
  <si>
    <t>Title</t>
  </si>
  <si>
    <t>State</t>
  </si>
  <si>
    <t>Priority</t>
  </si>
  <si>
    <t>Group</t>
  </si>
  <si>
    <t>Owner</t>
  </si>
  <si>
    <t>Customer</t>
  </si>
  <si>
    <t>Organization</t>
  </si>
  <si>
    <t>Create Channel</t>
  </si>
  <si>
    <t>Sender</t>
  </si>
  <si>
    <t>Tags</t>
  </si>
  <si>
    <t>Time Units Total</t>
  </si>
  <si>
    <t>Pending till</t>
  </si>
  <si>
    <t>Priority Level</t>
  </si>
  <si>
    <t>CATEGORY</t>
  </si>
  <si>
    <t>Created At</t>
  </si>
  <si>
    <t>Updated At</t>
  </si>
  <si>
    <t>Closed At</t>
  </si>
  <si>
    <t>Last Closed At</t>
  </si>
  <si>
    <t>Close Escalation At</t>
  </si>
  <si>
    <t>Close In Min</t>
  </si>
  <si>
    <t>Close Diff In Min</t>
  </si>
  <si>
    <t>HOURS</t>
  </si>
  <si>
    <t>By Priority</t>
  </si>
  <si>
    <t>Over All Statistic</t>
  </si>
  <si>
    <t>First Response At</t>
  </si>
  <si>
    <t>First Response Escalation At</t>
  </si>
  <si>
    <t>First Response In Min</t>
  </si>
  <si>
    <t>First Response Diff In Min</t>
  </si>
  <si>
    <t>Update Escalation At</t>
  </si>
  <si>
    <t>Update In Min</t>
  </si>
  <si>
    <t>Update Diff In Min</t>
  </si>
  <si>
    <t>Last Contact At</t>
  </si>
  <si>
    <t>Last Contact Agent At</t>
  </si>
  <si>
    <t>Last Contact Customer At</t>
  </si>
  <si>
    <t>Article Count</t>
  </si>
  <si>
    <t>Escalation At</t>
  </si>
  <si>
    <t>20251128420003</t>
  </si>
  <si>
    <t>Check and installation of Epson Printer L5290</t>
  </si>
  <si>
    <t>Resolved</t>
  </si>
  <si>
    <t>Medium</t>
  </si>
  <si>
    <t>CHSS</t>
  </si>
  <si>
    <t>JERALD TULIBAO</t>
  </si>
  <si>
    <t>MARIE GRACE APONTE</t>
  </si>
  <si>
    <t>web</t>
  </si>
  <si>
    <t>Normal</t>
  </si>
  <si>
    <t>Technical Support</t>
  </si>
  <si>
    <t>2025-11-28 09:44:11</t>
  </si>
  <si>
    <t>2025-12-01 12:23:38</t>
  </si>
  <si>
    <t>2025-12-01 12:23:36</t>
  </si>
  <si>
    <t>2025-12-16 08:27:52</t>
  </si>
  <si>
    <t>20251201420004</t>
  </si>
  <si>
    <t>Printer</t>
  </si>
  <si>
    <t>OC › OSA</t>
  </si>
  <si>
    <t>Joseph Andrew Aguilar</t>
  </si>
  <si>
    <t>Hardware Issue</t>
  </si>
  <si>
    <t>2025-12-01 10:51:20</t>
  </si>
  <si>
    <t>2025-12-01 10:53:42</t>
  </si>
  <si>
    <t>2025-12-01 10:53:40</t>
  </si>
  <si>
    <t>2025-12-17 11:27:12</t>
  </si>
  <si>
    <t>20251128420002</t>
  </si>
  <si>
    <t>Inspection of Interactive Touchscreen (1 unit)</t>
  </si>
  <si>
    <t>OVCAA › OR/CARIM</t>
  </si>
  <si>
    <t>Elizha Beth Silangan</t>
  </si>
  <si>
    <t>Brenda Fuentes</t>
  </si>
  <si>
    <t>General Inquiry</t>
  </si>
  <si>
    <t>2025-11-28 09:38:08</t>
  </si>
  <si>
    <t>2025-11-28 13:40:55</t>
  </si>
  <si>
    <t>2025-11-28 13:40:54</t>
  </si>
  <si>
    <t>2025-12-17 13:05:50</t>
  </si>
  <si>
    <t>20251127420001</t>
  </si>
  <si>
    <t>Request for Lan connection and Mic set up during the BAC Opening of bids Meeting on November 28, 2025 at 9:00 AM.</t>
  </si>
  <si>
    <t>OVCAD</t>
  </si>
  <si>
    <t>Karen Joy Molanta</t>
  </si>
  <si>
    <t>2025-11-27 08:38:08</t>
  </si>
  <si>
    <t>2025-11-28 13:03:39</t>
  </si>
  <si>
    <t>2025-11-28 13:03:37</t>
  </si>
  <si>
    <t>2025-12-17 09:13:39</t>
  </si>
  <si>
    <t>20251126420001</t>
  </si>
  <si>
    <t>UNABLE TO PRINT</t>
  </si>
  <si>
    <t>OVCAD › CASH</t>
  </si>
  <si>
    <t>Angel Lorraine Galeos-Arabis</t>
  </si>
  <si>
    <t>Printer Connection Issue</t>
  </si>
  <si>
    <t>2025-11-26 16:20:35</t>
  </si>
  <si>
    <t>2025-11-27 09:22:01</t>
  </si>
  <si>
    <t>2025-11-27 09:22:00</t>
  </si>
  <si>
    <t>2025-12-11 09:07:29</t>
  </si>
  <si>
    <t>20251118420003</t>
  </si>
  <si>
    <t>ISIP Website Technical Issue</t>
  </si>
  <si>
    <t>OC</t>
  </si>
  <si>
    <t>Anakin Skywalker Pactores</t>
  </si>
  <si>
    <t>Keesha Eluceth Fernandez</t>
  </si>
  <si>
    <t>2025-11-18 14:50:27</t>
  </si>
  <si>
    <t>2025-11-26 09:31:30</t>
  </si>
  <si>
    <t>2025-11-26 09:31:28</t>
  </si>
  <si>
    <t>Forgot to Close Ticket After Waiting for 
Client Response, but the Ticket Was 
Addressed Within the Day.</t>
  </si>
  <si>
    <t>2025-12-10 08:21:25</t>
  </si>
  <si>
    <t>20251121420001</t>
  </si>
  <si>
    <t>Request to repair printer</t>
  </si>
  <si>
    <t>2025-11-21 14:08:05</t>
  </si>
  <si>
    <t>2025-11-25 16:17:18</t>
  </si>
  <si>
    <t>2025-11-25 16:17:16</t>
  </si>
  <si>
    <t>2025-12-09 14:41:24</t>
  </si>
  <si>
    <t>20251124420005</t>
  </si>
  <si>
    <t>Technical Assistance</t>
  </si>
  <si>
    <t>SOM</t>
  </si>
  <si>
    <t>Clint Joey Inson</t>
  </si>
  <si>
    <t>2025-11-24 15:49:42</t>
  </si>
  <si>
    <t>2025-11-25 14:31:29</t>
  </si>
  <si>
    <t>2025-11-25 14:31:27</t>
  </si>
  <si>
    <t>2025-12-09 09:46:45</t>
  </si>
  <si>
    <t>20251124420004</t>
  </si>
  <si>
    <t>Request for Lan connection during the BAC Opening of bids Meeting on November 26, 2025 at 8 AM.</t>
  </si>
  <si>
    <t>2025-11-24 15:41:10</t>
  </si>
  <si>
    <t>2025-11-24 16:04:15</t>
  </si>
  <si>
    <t>2025-11-24 16:04:10</t>
  </si>
  <si>
    <t>2025-12-01 09:34:58</t>
  </si>
  <si>
    <t>20251124420002</t>
  </si>
  <si>
    <t>Check Epson printer L5290</t>
  </si>
  <si>
    <t>2025-11-24 11:41:18</t>
  </si>
  <si>
    <t>2025-11-24 14:27:11</t>
  </si>
  <si>
    <t>2025-11-24 14:27:10</t>
  </si>
  <si>
    <t>2025-12-01 10:47:57</t>
  </si>
  <si>
    <t>20251124420001</t>
  </si>
  <si>
    <t>Installation of A3 printer</t>
  </si>
  <si>
    <t>2025-11-24 10:24:21</t>
  </si>
  <si>
    <t>2025-11-24 14:26:51</t>
  </si>
  <si>
    <t>2025-11-24 14:26:48</t>
  </si>
  <si>
    <t>2025-12-01 09:08:56</t>
  </si>
  <si>
    <t>20251120420004</t>
  </si>
  <si>
    <t>Change WiFi Account Status from Student to API/COS</t>
  </si>
  <si>
    <t>CSM</t>
  </si>
  <si>
    <t>Froebel Acebedo</t>
  </si>
  <si>
    <t>Dolorie Vianne Gabisan</t>
  </si>
  <si>
    <t>Internet/ Wifi Connection</t>
  </si>
  <si>
    <t>2025-11-20 16:01:55</t>
  </si>
  <si>
    <t>2025-11-20 16:29:42</t>
  </si>
  <si>
    <t>2025-11-20 16:29:29</t>
  </si>
  <si>
    <t>20251120420001</t>
  </si>
  <si>
    <t>UPS</t>
  </si>
  <si>
    <t>OC › BUDGET</t>
  </si>
  <si>
    <t>cyrill hondanero</t>
  </si>
  <si>
    <t>2025-11-20 10:53:45</t>
  </si>
  <si>
    <t>2025-11-20 13:27:49</t>
  </si>
  <si>
    <t>2025-11-20 13:27:47</t>
  </si>
  <si>
    <t>20251118420004</t>
  </si>
  <si>
    <t>Request for Assistance to Connect Computers to the Office Printer through Wireless Connection</t>
  </si>
  <si>
    <t>ELVIN JAN BASAN</t>
  </si>
  <si>
    <t>Printing and Copying</t>
  </si>
  <si>
    <t>2025-11-18 16:42:37</t>
  </si>
  <si>
    <t>2025-11-19 10:40:58</t>
  </si>
  <si>
    <t>2025-11-19 10:40:57</t>
  </si>
  <si>
    <t>20251114420002</t>
  </si>
  <si>
    <t>printer connection and troubleshooting</t>
  </si>
  <si>
    <t>OVCAD › HRDO</t>
  </si>
  <si>
    <t>Jennifer Navarrete</t>
  </si>
  <si>
    <t>Mary Ann Pangilan</t>
  </si>
  <si>
    <t>2025-11-14 14:47:25</t>
  </si>
  <si>
    <t>2025-11-18 09:14:18</t>
  </si>
  <si>
    <t>2025-11-17 15:22:19</t>
  </si>
  <si>
    <t>2025-11-28 09:30:56</t>
  </si>
  <si>
    <t>20251114420001</t>
  </si>
  <si>
    <t>Printer appears offline from the desktop.</t>
  </si>
  <si>
    <t>JENNY ROSE SUICO</t>
  </si>
  <si>
    <t>2025-11-14 11:22:47</t>
  </si>
  <si>
    <t>2025-11-14 11:48:12</t>
  </si>
  <si>
    <t>2025-11-14 11:48:11</t>
  </si>
  <si>
    <t>2025-11-27 08:38:09</t>
  </si>
  <si>
    <t>20251112420002</t>
  </si>
  <si>
    <t>PRINTER NETWORK SET UP</t>
  </si>
  <si>
    <t>Wesley Jay Colimod</t>
  </si>
  <si>
    <t>2025-11-12 14:22:42</t>
  </si>
  <si>
    <t>2025-11-12 14:38:39</t>
  </si>
  <si>
    <t>2025-11-12 14:38:37</t>
  </si>
  <si>
    <t>2025-11-27 09:39:08</t>
  </si>
  <si>
    <t>20251112420001</t>
  </si>
  <si>
    <t>Installation of Adobe Photoshop and Illustrator</t>
  </si>
  <si>
    <t>Nhikki Pauline Lumayag</t>
  </si>
  <si>
    <t>2025-11-12 10:51:00</t>
  </si>
  <si>
    <t>2025-11-12 13:37:59</t>
  </si>
  <si>
    <t>2025-11-12 13:37:57</t>
  </si>
  <si>
    <t>2025-11-26 16:20:36</t>
  </si>
  <si>
    <t>20251111420001</t>
  </si>
  <si>
    <t>Request for RAM Installation</t>
  </si>
  <si>
    <t>OC › OASH</t>
  </si>
  <si>
    <t>Darlene Talapian</t>
  </si>
  <si>
    <t>2025-11-11 12:52:32</t>
  </si>
  <si>
    <t>2025-11-11 15:47:00</t>
  </si>
  <si>
    <t>2025-11-11 15:13:45</t>
  </si>
  <si>
    <t>20251110420002</t>
  </si>
  <si>
    <t>Battery replacement</t>
  </si>
  <si>
    <t>2025-11-10 11:33:00</t>
  </si>
  <si>
    <t>2025-11-11 09:20:10</t>
  </si>
  <si>
    <t>2025-11-11 09:20:07</t>
  </si>
  <si>
    <t>2025-11-21 14:08:06</t>
  </si>
  <si>
    <t>20251110420001</t>
  </si>
  <si>
    <t>Printer connection assistance</t>
  </si>
  <si>
    <t>EMMA GRACE PATOMBON</t>
  </si>
  <si>
    <t>2025-11-10 08:13:42</t>
  </si>
  <si>
    <t>2025-11-10 09:45:30</t>
  </si>
  <si>
    <t>2025-11-10 09:45:29</t>
  </si>
  <si>
    <t>20251104420002</t>
  </si>
  <si>
    <t>Inspection of 2 units Laptop</t>
  </si>
  <si>
    <t>2025-11-04 13:23:36</t>
  </si>
  <si>
    <t>2025-11-05 09:17:32</t>
  </si>
  <si>
    <t>2025-11-05 09:17:31</t>
  </si>
  <si>
    <t>20251103420003</t>
  </si>
  <si>
    <t>Request for Cloudflared Token for QAO Server</t>
  </si>
  <si>
    <t>QAO</t>
  </si>
  <si>
    <t>Clent Japhet Poledo</t>
  </si>
  <si>
    <t>2025-11-03 11:38:28</t>
  </si>
  <si>
    <t>2025-11-04 09:23:57</t>
  </si>
  <si>
    <t>2025-11-04 09:23:56</t>
  </si>
  <si>
    <t>2025-11-24 13:05:18</t>
  </si>
  <si>
    <t>20251029420003</t>
  </si>
  <si>
    <t>Request for Updating of DNS for qao.upmin.edu.ph</t>
  </si>
  <si>
    <t>2025-10-29 12:01:59</t>
  </si>
  <si>
    <t>2025-11-04 09:23:24</t>
  </si>
  <si>
    <t>2025-11-04 09:23:23</t>
  </si>
  <si>
    <t>2025-11-24 11:41:19</t>
  </si>
  <si>
    <t>20251028420005</t>
  </si>
  <si>
    <t>Enternet connection checking @PPO</t>
  </si>
  <si>
    <t>PPO</t>
  </si>
  <si>
    <t>-</t>
  </si>
  <si>
    <t>Edgar Denosta</t>
  </si>
  <si>
    <t>2025-10-28 13:44:25</t>
  </si>
  <si>
    <t>2025-10-28 16:08:41</t>
  </si>
  <si>
    <t>2025-10-28 16:08:40</t>
  </si>
  <si>
    <t>20251027420011</t>
  </si>
  <si>
    <t>Request for assistance in the installation of  new PC</t>
  </si>
  <si>
    <t>Users</t>
  </si>
  <si>
    <t>Ann Miraflor Batomalaque</t>
  </si>
  <si>
    <t>2025-10-27 10:55:40</t>
  </si>
  <si>
    <t>2025-10-28 11:21:52</t>
  </si>
  <si>
    <t>2025-10-28 11:21:49</t>
  </si>
  <si>
    <t>2025-11-20 12:38:32</t>
  </si>
  <si>
    <t>20251027420009</t>
  </si>
  <si>
    <t>Customer enlistment</t>
  </si>
  <si>
    <t>Ediflor Yanong</t>
  </si>
  <si>
    <t>2025-10-27 10:43:00</t>
  </si>
  <si>
    <t>2025-10-28 11:21:01</t>
  </si>
  <si>
    <t>2025-10-28 11:21:00</t>
  </si>
  <si>
    <t>20251027420003</t>
  </si>
  <si>
    <t>trial</t>
  </si>
  <si>
    <t>REMIE JR AURELIO</t>
  </si>
  <si>
    <t>spam</t>
  </si>
  <si>
    <t>2025-10-27 10:30:21</t>
  </si>
  <si>
    <t>2025-10-28 11:19:21</t>
  </si>
  <si>
    <t>2025-10-28 11:19:20</t>
  </si>
  <si>
    <t>2025-11-20 11:00:26</t>
  </si>
  <si>
    <t>20251027420004</t>
  </si>
  <si>
    <t>Request for DRS Generation for UP-BDI</t>
  </si>
  <si>
    <t>John Carlo Evardo</t>
  </si>
  <si>
    <t>2025-10-27 10:36:50</t>
  </si>
  <si>
    <t>2025-10-28 09:14:52</t>
  </si>
  <si>
    <t>2025-11-20 10:53:46</t>
  </si>
  <si>
    <t>20251027420012</t>
  </si>
  <si>
    <t>DALISAI- Check-up and repair Epson L5290</t>
  </si>
  <si>
    <t>2025-10-27 16:15:39</t>
  </si>
  <si>
    <t>2025-10-28 09:03:19</t>
  </si>
  <si>
    <t>2025-10-28 09:03:18</t>
  </si>
  <si>
    <t>20251027420010</t>
  </si>
  <si>
    <t>LAPTOP CHANGE TO SSD</t>
  </si>
  <si>
    <t>Lavern Kaye Driz</t>
  </si>
  <si>
    <t>2025-10-27 10:49:44</t>
  </si>
  <si>
    <t>2025-10-27 11:53:34</t>
  </si>
  <si>
    <t>2025-10-27 11:53:31</t>
  </si>
  <si>
    <t>2025-11-18 14:41:14</t>
  </si>
  <si>
    <t>20251027420002</t>
  </si>
  <si>
    <t>CSRS Access</t>
  </si>
  <si>
    <t>Invictus Lorenzo</t>
  </si>
  <si>
    <t>2025-10-27 10:28:06</t>
  </si>
  <si>
    <t>2025-10-27 11:53:30</t>
  </si>
  <si>
    <t>2025-11-18 13:52:55</t>
  </si>
  <si>
    <t>20251027420001</t>
  </si>
  <si>
    <t>Wifi Connection</t>
  </si>
  <si>
    <t>OVCAA › OUR</t>
  </si>
  <si>
    <t>Methus Elisan</t>
  </si>
  <si>
    <t>2025-10-27 10:27:37</t>
  </si>
  <si>
    <t>2025-10-27 11:53:33</t>
  </si>
  <si>
    <t>20251024420001</t>
  </si>
  <si>
    <t>SCANNER SET-UP</t>
  </si>
  <si>
    <t>2025-10-24 09:33:47</t>
  </si>
  <si>
    <t>2025-10-24 14:49:05</t>
  </si>
  <si>
    <t>2025-10-24 14:49:04</t>
  </si>
  <si>
    <t>20251023420002</t>
  </si>
  <si>
    <t>Request assistance for internet setup and other needs on November 3 and 17, 2025, for the BAC Infra Meeting.</t>
  </si>
  <si>
    <t>OVCAD › SPMO</t>
  </si>
  <si>
    <t>2025-10-23 12:31:03</t>
  </si>
  <si>
    <t>2025-10-23 13:36:43</t>
  </si>
  <si>
    <t>2025-10-23 13:36:42</t>
  </si>
  <si>
    <t>2025-11-13 15:48:12</t>
  </si>
  <si>
    <t>20251016420001</t>
  </si>
  <si>
    <t>Update driver installer for Man Gaya's laptop</t>
  </si>
  <si>
    <t>University of the Philippines Mindanao</t>
  </si>
  <si>
    <t>2025-10-16 09:51:49</t>
  </si>
  <si>
    <t>2025-10-24 16:43:27</t>
  </si>
  <si>
    <t>2025-10-21 08:49:01</t>
  </si>
  <si>
    <t>20251015420001</t>
  </si>
  <si>
    <t>2025-10-15 09:58:51</t>
  </si>
  <si>
    <t>2025-11-03 11:18:41</t>
  </si>
  <si>
    <t>2025-10-15 13:19:37</t>
  </si>
  <si>
    <t>20251006420002</t>
  </si>
  <si>
    <t>INSTALLATION OF INTERNET CONNECTION</t>
  </si>
  <si>
    <t>2025-10-06 14:39:56</t>
  </si>
  <si>
    <t>2025-10-06 16:26:52</t>
  </si>
  <si>
    <t>2025-10-06 16:26:51</t>
  </si>
  <si>
    <t>20250925420001</t>
  </si>
  <si>
    <t>Printer Connection</t>
  </si>
  <si>
    <t>Hannah Alcomendras</t>
  </si>
  <si>
    <t>2025-09-25 13:19:49</t>
  </si>
  <si>
    <t>2025-09-25 14:39:53</t>
  </si>
  <si>
    <t>2025-09-25 14:39:52</t>
  </si>
  <si>
    <t>42019</t>
  </si>
  <si>
    <t>PRINTING ERROR L360 (EPSON)</t>
  </si>
  <si>
    <t>COA</t>
  </si>
  <si>
    <t>ARNEL NARISMA</t>
  </si>
  <si>
    <t>Software Issue</t>
  </si>
  <si>
    <t>2025-08-28 10:17:06</t>
  </si>
  <si>
    <t>2025-11-27 09:20:57</t>
  </si>
  <si>
    <t>2025-08-28 13:38:02</t>
  </si>
  <si>
    <t>2025-11-27 09:20:56</t>
  </si>
  <si>
    <t>2025-11-10 08:13:44</t>
  </si>
  <si>
    <t>20251127420002</t>
  </si>
  <si>
    <t>Issue on auditor laptop</t>
  </si>
  <si>
    <t>Low</t>
  </si>
  <si>
    <t>2025-11-27 09:45:20</t>
  </si>
  <si>
    <t>2025-11-27 09:45:16</t>
  </si>
  <si>
    <t>2025-11-06 15:31:23</t>
  </si>
  <si>
    <t>20251029420002</t>
  </si>
  <si>
    <t>Printer Connection Offline</t>
  </si>
  <si>
    <t>2025-10-29 11:23:23</t>
  </si>
  <si>
    <t>2025-10-30 09:28:30</t>
  </si>
  <si>
    <t>2025-10-30 09:28:29</t>
  </si>
  <si>
    <t>20251028420003</t>
  </si>
  <si>
    <t>No QAO Under OC Group in ZAMMAD</t>
  </si>
  <si>
    <t>2025-10-28 09:58:48</t>
  </si>
  <si>
    <t>2025-10-28 11:22:19</t>
  </si>
  <si>
    <t>2025-11-04 08:04:53</t>
  </si>
  <si>
    <t>20251027420005</t>
  </si>
  <si>
    <t>demo purposes only</t>
  </si>
  <si>
    <t>Analiza Macias</t>
  </si>
  <si>
    <t>2025-10-27 10:37:45</t>
  </si>
  <si>
    <t>2025-10-28 11:19:30</t>
  </si>
  <si>
    <t>2025-10-28 11:19:29</t>
  </si>
  <si>
    <t>2025-11-03 14:05:02</t>
  </si>
  <si>
    <t>20251022420001</t>
  </si>
  <si>
    <t>Installation of computer set</t>
  </si>
  <si>
    <t>IMEE BARDON</t>
  </si>
  <si>
    <t>2025-10-22 08:39:44</t>
  </si>
  <si>
    <t>2025-10-23 16:48:41</t>
  </si>
  <si>
    <t>20251016420002</t>
  </si>
  <si>
    <t>2025-10-16 10:30:04</t>
  </si>
  <si>
    <t>2025-10-20 08:41:26</t>
  </si>
  <si>
    <t>2025-10-20 08:41:25</t>
  </si>
  <si>
    <t>42024</t>
  </si>
  <si>
    <t>Reset waste ink pad(L5290 ESPSON Printer)</t>
  </si>
  <si>
    <t>TSG</t>
  </si>
  <si>
    <t>Sharon Cardinal</t>
  </si>
  <si>
    <t>2025-09-05 09:36:44</t>
  </si>
  <si>
    <t>2025-10-27 10:43:12</t>
  </si>
  <si>
    <t>2025-09-08 11:54:54</t>
  </si>
  <si>
    <t>2025-10-30 14:38:09</t>
  </si>
  <si>
    <t>20251216420001</t>
  </si>
  <si>
    <t>technical assistance</t>
  </si>
  <si>
    <t>Rachel Sanico</t>
  </si>
  <si>
    <t>High</t>
  </si>
  <si>
    <t>2025-12-16 08:27:51</t>
  </si>
  <si>
    <t>2026-02-18 13:13:54</t>
  </si>
  <si>
    <t>2025-12-18 10:30:04</t>
  </si>
  <si>
    <t>2026-01-26 10:09:30</t>
  </si>
  <si>
    <t>2025-11-03 10:31:36</t>
  </si>
  <si>
    <t>20251217420002</t>
  </si>
  <si>
    <t>Printer Repair</t>
  </si>
  <si>
    <t>Angiele Corbo</t>
  </si>
  <si>
    <t>2025-12-18 10:08:44</t>
  </si>
  <si>
    <t>2025-12-18 10:08:43</t>
  </si>
  <si>
    <t>2025-11-03 11:19:41</t>
  </si>
  <si>
    <t>20251217420003</t>
  </si>
  <si>
    <t>Inspection of Laptop and Installation of Software in Graduate Program Office</t>
  </si>
  <si>
    <t>Jonalyn Arboleda</t>
  </si>
  <si>
    <t>2025-12-17 13:05:49</t>
  </si>
  <si>
    <t>2025-12-17 13:55:53</t>
  </si>
  <si>
    <t>2025-12-17 13:55:52</t>
  </si>
  <si>
    <t>2025-10-30 16:00:37</t>
  </si>
  <si>
    <t>20251217420001</t>
  </si>
  <si>
    <t>Printer Issue</t>
  </si>
  <si>
    <t>Adrian [Drei] Arendon</t>
  </si>
  <si>
    <t>2025-12-17 13:53:59</t>
  </si>
  <si>
    <t>2025-12-17 13:53:58</t>
  </si>
  <si>
    <t>2025-10-30 13:49:25</t>
  </si>
  <si>
    <t>20251211420001</t>
  </si>
  <si>
    <t>Internet connection issue</t>
  </si>
  <si>
    <t>2025-12-16 12:12:35</t>
  </si>
  <si>
    <t>2025-12-16 12:12:34</t>
  </si>
  <si>
    <t>2025-10-29 08:51:41</t>
  </si>
  <si>
    <t>20251210420001</t>
  </si>
  <si>
    <t>2025-12-16 12:12:03</t>
  </si>
  <si>
    <t>2025-12-16 12:12:01</t>
  </si>
  <si>
    <t>2025-10-30 09:05:42</t>
  </si>
  <si>
    <t>20251209420002</t>
  </si>
  <si>
    <t>Blinking lights issue Printer</t>
  </si>
  <si>
    <t>John Noel Garcia</t>
  </si>
  <si>
    <t>2025-12-10 08:33:04</t>
  </si>
  <si>
    <t>2025-12-10 08:33:03</t>
  </si>
  <si>
    <t>20251209420001</t>
  </si>
  <si>
    <t>Printer End of Service Life</t>
  </si>
  <si>
    <t>Coralyn Aborde</t>
  </si>
  <si>
    <t>2025-12-09 09:46:44</t>
  </si>
  <si>
    <t>2025-12-09 14:27:10</t>
  </si>
  <si>
    <t>2025-12-09 14:21:51</t>
  </si>
  <si>
    <t>20251201420002</t>
  </si>
  <si>
    <t>Special University Curriculum Committee Meeting</t>
  </si>
  <si>
    <t>OVCAA</t>
  </si>
  <si>
    <t>Iraine Louella Rara</t>
  </si>
  <si>
    <t>2025-12-01 14:39:01</t>
  </si>
  <si>
    <t>2025-12-01 14:38:59</t>
  </si>
  <si>
    <t>2025-10-28 09:58:49</t>
  </si>
  <si>
    <t>20251201420003</t>
  </si>
  <si>
    <t>internet connection issue</t>
  </si>
  <si>
    <t>Michelle Panis</t>
  </si>
  <si>
    <t>2025-12-01 10:47:56</t>
  </si>
  <si>
    <t>2025-12-01 14:59:59</t>
  </si>
  <si>
    <t>2025-12-01 13:56:47</t>
  </si>
  <si>
    <t>20251201420001</t>
  </si>
  <si>
    <t>Computer Set-up</t>
  </si>
  <si>
    <t>OVCAA › ILC</t>
  </si>
  <si>
    <t>Ana Sheila Sulimanan</t>
  </si>
  <si>
    <t>2025-12-01 09:08:55</t>
  </si>
  <si>
    <t>2025-12-01 13:12:13</t>
  </si>
  <si>
    <t>2025-12-01 13:12:12</t>
  </si>
  <si>
    <t>20251128420001</t>
  </si>
  <si>
    <t>QAO/ISO Office Computer Inspection</t>
  </si>
  <si>
    <t>Bryant Shaquille Muico</t>
  </si>
  <si>
    <t>2025-11-28 09:30:55</t>
  </si>
  <si>
    <t>2025-11-28 13:40:35</t>
  </si>
  <si>
    <t>2025-11-28 13:40:32</t>
  </si>
  <si>
    <t>20251124420003</t>
  </si>
  <si>
    <t>Laptop Password</t>
  </si>
  <si>
    <t>2025-11-24 15:42:11</t>
  </si>
  <si>
    <t>2025-11-24 15:42:07</t>
  </si>
  <si>
    <t>20251120420003</t>
  </si>
  <si>
    <t>computer issue</t>
  </si>
  <si>
    <t>OVCAD › CPDO</t>
  </si>
  <si>
    <t>Hazel Marie Rojas</t>
  </si>
  <si>
    <t>2025-11-21 08:52:55</t>
  </si>
  <si>
    <t>2025-11-21 08:52:52</t>
  </si>
  <si>
    <t>2025-10-28 10:41:23</t>
  </si>
  <si>
    <t>20251120420002</t>
  </si>
  <si>
    <t>Telephone Problem</t>
  </si>
  <si>
    <t>HAZEL MONTECALVO</t>
  </si>
  <si>
    <t>2025-11-20 13:28:00</t>
  </si>
  <si>
    <t>2025-11-20 13:27:58</t>
  </si>
  <si>
    <t>2025-10-28 08:20:25</t>
  </si>
  <si>
    <t>20251118420002</t>
  </si>
  <si>
    <t>2025-11-19 11:43:44</t>
  </si>
  <si>
    <t>2025-11-19 10:40:37</t>
  </si>
  <si>
    <t>2025-11-19 11:43:41</t>
  </si>
  <si>
    <t>2025-10-28 08:34:56</t>
  </si>
  <si>
    <t>20251118420001</t>
  </si>
  <si>
    <t>ISIP HEP MOOE-realignmnet issue</t>
  </si>
  <si>
    <t>Information System</t>
  </si>
  <si>
    <t>2025-11-19 09:09:43</t>
  </si>
  <si>
    <t>2025-11-19 09:09:41</t>
  </si>
  <si>
    <t>2025-10-27 10:36:51</t>
  </si>
  <si>
    <t>20251113420001</t>
  </si>
  <si>
    <t>Request assistance for internet setup and other needs tomorrow, November 14, 2025 at 2 PM for the BAC Infra Meeting.</t>
  </si>
  <si>
    <t>2025-11-14 08:51:58</t>
  </si>
  <si>
    <t>2025-11-14 08:51:50</t>
  </si>
  <si>
    <t>20251106420001</t>
  </si>
  <si>
    <t>Request Assistance in Application Installation in Laptop</t>
  </si>
  <si>
    <t>Kathleen Delos Santos</t>
  </si>
  <si>
    <t>2025-11-10 08:51:17</t>
  </si>
  <si>
    <t>2025-11-10 08:51:15</t>
  </si>
  <si>
    <t>20251104420001</t>
  </si>
  <si>
    <t>Laptop Power</t>
  </si>
  <si>
    <t>2025-11-06 08:39:24</t>
  </si>
  <si>
    <t>2025-11-05 09:17:04</t>
  </si>
  <si>
    <t>2025-11-06 08:38:40</t>
  </si>
  <si>
    <t>2025-10-27 10:40:09</t>
  </si>
  <si>
    <t>20251103420004</t>
  </si>
  <si>
    <t>INSTALLATION OF SCANNER</t>
  </si>
  <si>
    <t>JENNY FE PAHAMOTANG</t>
  </si>
  <si>
    <t>2025-11-04 09:49:24</t>
  </si>
  <si>
    <t>2025-11-04 09:49:23</t>
  </si>
  <si>
    <t>2025-10-27 10:39:16</t>
  </si>
  <si>
    <t>20251030420003</t>
  </si>
  <si>
    <t>INSPECTION OF PURCHASED IT SUPPLIES (UPS, ETC.)</t>
  </si>
  <si>
    <t>2025-11-03 13:31:21</t>
  </si>
  <si>
    <t>2025-11-03 13:31:20</t>
  </si>
  <si>
    <t>20251103420001</t>
  </si>
  <si>
    <t>Internet Connectivity</t>
  </si>
  <si>
    <t>2025-11-03 14:06:52</t>
  </si>
  <si>
    <t>2025-11-03 13:00:12</t>
  </si>
  <si>
    <t>20251103420002</t>
  </si>
  <si>
    <t>PRINTER ISSUE</t>
  </si>
  <si>
    <t>2025-11-03 11:46:07</t>
  </si>
  <si>
    <t>2025-11-03 11:46:06</t>
  </si>
  <si>
    <t>2025-10-24 09:33:48</t>
  </si>
  <si>
    <t>20251030420004</t>
  </si>
  <si>
    <t>scanner issues</t>
  </si>
  <si>
    <t>2025-10-30 16:00:36</t>
  </si>
  <si>
    <t>2025-10-30 16:30:23</t>
  </si>
  <si>
    <t>2025-10-30 16:30:21</t>
  </si>
  <si>
    <t>2025-10-22 08:39:45</t>
  </si>
  <si>
    <t>20251030420002</t>
  </si>
  <si>
    <t>Request for  WiFi access for Room 225a</t>
  </si>
  <si>
    <t>CSM › DMPCS</t>
  </si>
  <si>
    <t>Grace Mesa</t>
  </si>
  <si>
    <t>2025-10-30 13:49:24</t>
  </si>
  <si>
    <t>2025-10-30 15:15:36</t>
  </si>
  <si>
    <t>2025-10-30 15:15:35</t>
  </si>
  <si>
    <t>20251029420001</t>
  </si>
  <si>
    <t>Request for the installation of the SSD (desktop)</t>
  </si>
  <si>
    <t>Sports Stadium</t>
  </si>
  <si>
    <t>Jescelen Intes</t>
  </si>
  <si>
    <t>2025-10-30 11:55:11</t>
  </si>
  <si>
    <t>2025-10-30 11:55:10</t>
  </si>
  <si>
    <t>2025-10-23 12:23:31</t>
  </si>
  <si>
    <t>20251030420001</t>
  </si>
  <si>
    <t>ZOOM</t>
  </si>
  <si>
    <t>2025-10-30 09:37:57</t>
  </si>
  <si>
    <t>2025-10-30 09:37:56</t>
  </si>
  <si>
    <t>2025-10-21 10:47:10</t>
  </si>
  <si>
    <t>20251028420004</t>
  </si>
  <si>
    <t>Assistance in forwarding Availability of UP System-Procured Software Licenses announcement</t>
  </si>
  <si>
    <t>ILC-LRC UP Mindanao</t>
  </si>
  <si>
    <t>Information System/Email</t>
  </si>
  <si>
    <t>2025-10-28 11:16:02</t>
  </si>
  <si>
    <t>2025-10-28 11:05:26</t>
  </si>
  <si>
    <t>2025-10-21 08:50:46</t>
  </si>
  <si>
    <t>20251028420001</t>
  </si>
  <si>
    <t>computer set not functioning</t>
  </si>
  <si>
    <t>2025-11-05 13:54:44</t>
  </si>
  <si>
    <t>2025-10-28 11:02:35</t>
  </si>
  <si>
    <t>2025-11-05 09:02:21</t>
  </si>
  <si>
    <t>2025-10-20 13:22:58</t>
  </si>
  <si>
    <t>20251028420002</t>
  </si>
  <si>
    <t>Installation of Printer</t>
  </si>
  <si>
    <t>2025-10-28 11:02:03</t>
  </si>
  <si>
    <t>2025-10-28 11:02:02</t>
  </si>
  <si>
    <t>20251027420008</t>
  </si>
  <si>
    <t>2025-10-16 13:28:55</t>
  </si>
  <si>
    <t>20251027420007</t>
  </si>
  <si>
    <t>20251023420001</t>
  </si>
  <si>
    <t>Request assistance for the printer setup</t>
  </si>
  <si>
    <t>2025-10-23 12:23:30</t>
  </si>
  <si>
    <t>2026-02-04 14:59:13</t>
  </si>
  <si>
    <t>2026-02-04 14:59:11</t>
  </si>
  <si>
    <t>20251021420002</t>
  </si>
  <si>
    <t>Repair and Check for Scanner</t>
  </si>
  <si>
    <t>LRMO</t>
  </si>
  <si>
    <t>Vina Rose Galvez</t>
  </si>
  <si>
    <t>2025-10-22 09:01:04</t>
  </si>
  <si>
    <t>2025-10-22 09:01:03</t>
  </si>
  <si>
    <t>2025-10-08 15:51:34</t>
  </si>
  <si>
    <t>20251021420001</t>
  </si>
  <si>
    <t>Laptop and Printer Configuration</t>
  </si>
  <si>
    <t>2025-10-21 08:50:45</t>
  </si>
  <si>
    <t>2025-10-21 09:41:44</t>
  </si>
  <si>
    <t>2025-10-21 09:41:38</t>
  </si>
  <si>
    <t>20251020420001</t>
  </si>
  <si>
    <t>Desktop troubleshooting</t>
  </si>
  <si>
    <t>Lovely Joy Abogatal</t>
  </si>
  <si>
    <t>2025-10-21 09:19:08</t>
  </si>
  <si>
    <t>20251016420003</t>
  </si>
  <si>
    <t>Scanner Problem</t>
  </si>
  <si>
    <t>2025-10-16 13:28:54</t>
  </si>
  <si>
    <t>2025-10-20 08:42:17</t>
  </si>
  <si>
    <t>2025-09-24 08:41:43</t>
  </si>
  <si>
    <t>20251008420001</t>
  </si>
  <si>
    <t>Hardware failure</t>
  </si>
  <si>
    <t>2025-10-08 15:51:33</t>
  </si>
  <si>
    <t>2025-10-27 13:37:13</t>
  </si>
  <si>
    <t>2025-10-09 14:36:57</t>
  </si>
  <si>
    <t>2025-09-24 08:37:45</t>
  </si>
  <si>
    <t>20250924420002</t>
  </si>
  <si>
    <t>Clarice Kate Villas</t>
  </si>
  <si>
    <t>2025-09-24 09:20:14</t>
  </si>
  <si>
    <t>2025-09-24 09:20:13</t>
  </si>
  <si>
    <t>2025-09-22 11:29:22</t>
  </si>
  <si>
    <t>20250924420001</t>
  </si>
  <si>
    <t>Installation of TV</t>
  </si>
  <si>
    <t>2025-09-24 09:19:30</t>
  </si>
  <si>
    <t>2025-09-24 09:19:29</t>
  </si>
  <si>
    <t>2025-09-22 11:25:12</t>
  </si>
  <si>
    <t>20250922420002</t>
  </si>
  <si>
    <t>Check firmware of VOIP No. 9502</t>
  </si>
  <si>
    <t>2025-09-23 13:24:42</t>
  </si>
  <si>
    <t>2025-09-23 13:24:29</t>
  </si>
  <si>
    <t>2025-09-15 14:50:33</t>
  </si>
  <si>
    <t>20250922420001</t>
  </si>
  <si>
    <t>Relocation of 2 VOIPs of SOM to the New Building</t>
  </si>
  <si>
    <t>2025-09-22 11:25:11</t>
  </si>
  <si>
    <t>2025-09-23 13:24:18</t>
  </si>
  <si>
    <t>2025-09-23 13:24:17</t>
  </si>
  <si>
    <t>2025-09-12 10:26:47</t>
  </si>
  <si>
    <t>20250915420002</t>
  </si>
  <si>
    <t>installation of new printer</t>
  </si>
  <si>
    <t>OVCAD › Accounting</t>
  </si>
  <si>
    <t>2025-09-15 14:50:32</t>
  </si>
  <si>
    <t>2025-09-16 09:34:53</t>
  </si>
  <si>
    <t>2025-09-16 09:34:52</t>
  </si>
  <si>
    <t>2025-09-09 10:45:31</t>
  </si>
  <si>
    <t>20250912420001</t>
  </si>
  <si>
    <t>Request for the connection of the Brother printer to PC at the Training Gym</t>
  </si>
  <si>
    <t>2025-09-15 11:00:50</t>
  </si>
  <si>
    <t>2025-09-15 11:00:49</t>
  </si>
  <si>
    <t>42026</t>
  </si>
  <si>
    <t>install brother printer driver</t>
  </si>
  <si>
    <t>2025-09-10 13:42:53</t>
  </si>
  <si>
    <t>2025-09-04 09:07:54</t>
  </si>
  <si>
    <t>42022</t>
  </si>
  <si>
    <t>Request to repair of DH Printer</t>
  </si>
  <si>
    <t>2025-09-08 11:38:11</t>
  </si>
  <si>
    <t>2025-09-04 09:26:27</t>
  </si>
  <si>
    <t>42023</t>
  </si>
  <si>
    <t>SSD /TECHNICAL</t>
  </si>
  <si>
    <t>2025-09-04 09:26:26</t>
  </si>
  <si>
    <t>2025-09-08 11:36:42</t>
  </si>
  <si>
    <t>2025-09-04 08:48:59</t>
  </si>
  <si>
    <t>42021</t>
  </si>
  <si>
    <t>OC › ITO</t>
  </si>
  <si>
    <t>2025-09-04 08:48:58</t>
  </si>
  <si>
    <t>2025-09-04 08:52:15</t>
  </si>
  <si>
    <t>2025-09-04 09:12:52</t>
  </si>
  <si>
    <t>2025-09-01 10:59:07</t>
  </si>
  <si>
    <t>42020</t>
  </si>
  <si>
    <t>TECHNICAL SUPPORT /PRINTER</t>
  </si>
  <si>
    <t>2025-09-01 10:59:06</t>
  </si>
  <si>
    <t>2025-09-02 16:09:39</t>
  </si>
  <si>
    <t>2025-09-02 16:09:38</t>
  </si>
  <si>
    <t>42015</t>
  </si>
  <si>
    <t>Feedback Form</t>
  </si>
  <si>
    <t>2025-08-08 11:01:45</t>
  </si>
  <si>
    <t>2025-08-26 11:43:13</t>
  </si>
  <si>
    <t>The ticket was for testing purposes only.
 The delayed closure was an oversight, 
and no actual client issue was affected.</t>
  </si>
  <si>
    <t>2025-08-08 11:01:46</t>
  </si>
  <si>
    <t>42011</t>
  </si>
  <si>
    <t>wifi credentials</t>
  </si>
  <si>
    <t>2025-06-17 17:10:52</t>
  </si>
  <si>
    <t>2025-09-23 13:26:55</t>
  </si>
  <si>
    <t>2025-06-17 17:15:32</t>
  </si>
  <si>
    <t>42002</t>
  </si>
  <si>
    <t>test</t>
  </si>
  <si>
    <t>Rommel Tubal</t>
  </si>
  <si>
    <t>phone</t>
  </si>
  <si>
    <t>2025-05-23 13:53:35</t>
  </si>
  <si>
    <t>2025-07-25 11:47:37</t>
  </si>
  <si>
    <t>2025-05-23 14:00:05</t>
  </si>
  <si>
    <t>Timezone: Asia/Singapore</t>
  </si>
  <si>
    <t>LEGEND</t>
  </si>
  <si>
    <t>LOW</t>
  </si>
  <si>
    <t>SIMPLE</t>
  </si>
  <si>
    <t>NORMAL</t>
  </si>
  <si>
    <t>COMPLEX</t>
  </si>
  <si>
    <t>HIGH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</si>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</sst>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10">
    <font>
      <sz val="11.0"/>
      <color theme="1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i/>
      <sz val="11.0"/>
      <color rgb="FFFFFFFF"/>
      <name val="Calibri"/>
    </font>
    <font>
      <sz val="11.0"/>
      <color theme="1"/>
      <name val="Calibri"/>
    </font>
    <font>
      <sz val="11.0"/>
      <color theme="0"/>
      <name val="Calibri"/>
    </font>
    <font>
      <sz val="11.0"/>
      <color rgb="FFFFFFFF"/>
      <name val="Calibri"/>
    </font>
    <font>
      <color rgb="FF000000"/>
      <name val="Calibri"/>
      <scheme val="minor"/>
    </font>
    <font>
      <i/>
      <sz val="8.0"/>
      <color rgb="FF808080"/>
      <name val="Calibri"/>
    </font>
    <font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164" xfId="0" applyFont="1" applyNumberFormat="1"/>
    <xf borderId="1" fillId="3" fontId="5" numFmtId="2" xfId="0" applyBorder="1" applyFill="1" applyFont="1" applyNumberFormat="1"/>
    <xf borderId="0" fillId="0" fontId="4" numFmtId="2" xfId="0" applyAlignment="1" applyFont="1" applyNumberFormat="1">
      <alignment vertical="center"/>
    </xf>
    <xf borderId="1" fillId="4" fontId="5" numFmtId="2" xfId="0" applyBorder="1" applyFill="1" applyFont="1" applyNumberFormat="1"/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1" fillId="5" fontId="5" numFmtId="2" xfId="0" applyBorder="1" applyFill="1" applyFont="1" applyNumberFormat="1"/>
    <xf borderId="0" fillId="5" fontId="6" numFmtId="2" xfId="0" applyFont="1" applyNumberFormat="1"/>
    <xf borderId="0" fillId="0" fontId="7" numFmtId="0" xfId="0" applyAlignment="1" applyFont="1">
      <alignment vertical="center"/>
    </xf>
    <xf borderId="0" fillId="0" fontId="8" numFmtId="0" xfId="0" applyFont="1"/>
    <xf borderId="0" fillId="6" fontId="9" numFmtId="0" xfId="0" applyAlignment="1" applyFill="1" applyFont="1">
      <alignment readingOrder="0"/>
    </xf>
    <xf borderId="0" fillId="7" fontId="9" numFmtId="0" xfId="0" applyAlignment="1" applyFill="1" applyFont="1">
      <alignment readingOrder="0"/>
    </xf>
    <xf borderId="0" fillId="8" fontId="9" numFmtId="0" xfId="0" applyAlignment="1" applyFill="1" applyFont="1">
      <alignment readingOrder="0"/>
    </xf>
    <xf borderId="0" fillId="5" fontId="9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>
        <b/>
        <color theme="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TICKET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00FF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'SEP-DEC'!$X$4:$X$103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2324100</xdr:colOff>
      <xdr:row>2</xdr:row>
      <xdr:rowOff>161925</xdr:rowOff>
    </xdr:from>
    <xdr:ext cx="3429000" cy="2562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11</xdr:row>
      <xdr:rowOff>152400</xdr:rowOff>
    </xdr:from>
    <xdr:ext cx="2390775" cy="1323975"/>
    <xdr:pic>
      <xdr:nvPicPr>
        <xdr:cNvPr id="19336392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</xdr:row>
      <xdr:rowOff>0</xdr:rowOff>
    </xdr:from>
    <xdr:ext cx="5762625" cy="4391025"/>
    <xdr:graphicFrame>
      <xdr:nvGraphicFramePr>
        <xdr:cNvPr id="10465489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4</xdr:row>
      <xdr:rowOff>0</xdr:rowOff>
    </xdr:from>
    <xdr:ext cx="2390775" cy="1323975"/>
    <xdr:pic>
      <xdr:nvPicPr>
        <xdr:cNvPr id="153621018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19</xdr:row>
      <xdr:rowOff>161925</xdr:rowOff>
    </xdr:from>
    <xdr:ext cx="2390775" cy="1323975"/>
    <xdr:pic>
      <xdr:nvPicPr>
        <xdr:cNvPr id="116987835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</xdr:row>
      <xdr:rowOff>0</xdr:rowOff>
    </xdr:from>
    <xdr:ext cx="7010400" cy="4391025"/>
    <xdr:pic>
      <xdr:nvPicPr>
        <xdr:cNvPr id="179852397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4.71"/>
    <col customWidth="1" min="3" max="4" width="14.71"/>
    <col customWidth="1" min="5" max="8" width="20.71"/>
    <col customWidth="1" min="9" max="9" width="12.71"/>
    <col customWidth="1" min="10" max="10" width="14.71"/>
    <col customWidth="1" min="11" max="11" width="20.71"/>
    <col customWidth="1" min="12" max="12" width="10.71"/>
    <col customWidth="1" min="13" max="15" width="20.71"/>
    <col customWidth="1" min="16" max="20" width="18.71"/>
    <col customWidth="1" min="21" max="21" width="13.14"/>
    <col customWidth="1" min="22" max="22" width="19.71"/>
    <col customWidth="1" min="23" max="24" width="10.71"/>
    <col customWidth="1" min="25" max="25" width="25.57"/>
    <col customWidth="1" min="26" max="26" width="18.71"/>
    <col customWidth="1" min="27" max="27" width="34.86"/>
    <col customWidth="1" min="28" max="28" width="99.29"/>
    <col customWidth="1" min="29" max="29" width="24.57"/>
    <col customWidth="1" min="30" max="31" width="10.71"/>
    <col customWidth="1" min="32" max="32" width="18.71"/>
    <col customWidth="1" min="33" max="34" width="10.71"/>
    <col customWidth="1" min="35" max="35" width="15.29"/>
    <col customWidth="1" min="36" max="36" width="0.43"/>
    <col customWidth="1" hidden="1" min="37" max="37" width="4.57"/>
    <col customWidth="1" min="38" max="38" width="10.71"/>
    <col customWidth="1" min="39" max="39" width="18.71"/>
  </cols>
  <sheetData>
    <row r="1" ht="18.0" customHeight="1">
      <c r="A1" s="1" t="s">
        <v>0</v>
      </c>
      <c r="X1" s="2"/>
    </row>
    <row r="2" ht="14.25" customHeight="1">
      <c r="X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4" t="s">
        <v>23</v>
      </c>
      <c r="X3" s="5"/>
      <c r="Y3" s="4" t="s">
        <v>24</v>
      </c>
      <c r="Z3" s="4" t="s">
        <v>25</v>
      </c>
      <c r="AA3" s="3" t="s">
        <v>26</v>
      </c>
      <c r="AB3" s="3"/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</row>
    <row r="4" ht="14.25" customHeight="1">
      <c r="A4" s="6" t="s">
        <v>38</v>
      </c>
      <c r="B4" s="6" t="s">
        <v>39</v>
      </c>
      <c r="C4" s="7" t="s">
        <v>40</v>
      </c>
      <c r="D4" s="7" t="s">
        <v>41</v>
      </c>
      <c r="E4" s="6" t="s">
        <v>42</v>
      </c>
      <c r="F4" s="6" t="s">
        <v>43</v>
      </c>
      <c r="G4" s="6" t="s">
        <v>44</v>
      </c>
      <c r="I4" s="6" t="s">
        <v>45</v>
      </c>
      <c r="J4" s="6" t="s">
        <v>7</v>
      </c>
      <c r="N4" s="6" t="s">
        <v>46</v>
      </c>
      <c r="O4" s="6" t="s">
        <v>47</v>
      </c>
      <c r="P4" s="8" t="s">
        <v>48</v>
      </c>
      <c r="Q4" s="8" t="s">
        <v>49</v>
      </c>
      <c r="R4" s="8" t="s">
        <v>50</v>
      </c>
      <c r="S4" s="8" t="s">
        <v>50</v>
      </c>
      <c r="W4" s="9">
        <f t="shared" ref="W4:W103" si="1">R4-P4</f>
        <v>3.110706019</v>
      </c>
      <c r="X4" s="10">
        <f>COUNT(W4:W43)</f>
        <v>40</v>
      </c>
      <c r="Y4" s="2" t="str">
        <f t="shared" ref="Y4:Y103" si="2">IF(W4&lt;=3, "Simple", IF(W4&lt;=7, "Complex", "Other"))</f>
        <v>Complex</v>
      </c>
      <c r="Z4" s="2" t="str">
        <f t="shared" ref="Z4:Z103" si="3">IF(W4&lt;=3, "Simple", IF(W4&lt;=7, "Complex", "Other"))</f>
        <v>Complex</v>
      </c>
      <c r="AI4" s="8" t="s">
        <v>51</v>
      </c>
      <c r="AK4" s="8" t="s">
        <v>51</v>
      </c>
      <c r="AL4" s="6">
        <v>2.0</v>
      </c>
    </row>
    <row r="5" ht="14.25" customHeight="1">
      <c r="A5" s="6" t="s">
        <v>52</v>
      </c>
      <c r="B5" s="6" t="s">
        <v>53</v>
      </c>
      <c r="C5" s="7" t="s">
        <v>40</v>
      </c>
      <c r="D5" s="7" t="s">
        <v>41</v>
      </c>
      <c r="E5" s="6" t="s">
        <v>54</v>
      </c>
      <c r="F5" s="6" t="s">
        <v>43</v>
      </c>
      <c r="G5" s="6" t="s">
        <v>55</v>
      </c>
      <c r="I5" s="6" t="s">
        <v>45</v>
      </c>
      <c r="J5" s="6" t="s">
        <v>7</v>
      </c>
      <c r="N5" s="6" t="s">
        <v>46</v>
      </c>
      <c r="O5" s="6" t="s">
        <v>56</v>
      </c>
      <c r="P5" s="8" t="s">
        <v>57</v>
      </c>
      <c r="Q5" s="8" t="s">
        <v>58</v>
      </c>
      <c r="R5" s="8" t="s">
        <v>59</v>
      </c>
      <c r="S5" s="8" t="s">
        <v>59</v>
      </c>
      <c r="W5" s="9">
        <f t="shared" si="1"/>
        <v>0.001620370371</v>
      </c>
      <c r="Y5" s="2" t="str">
        <f t="shared" si="2"/>
        <v>Simple</v>
      </c>
      <c r="Z5" s="2" t="str">
        <f t="shared" si="3"/>
        <v>Simple</v>
      </c>
      <c r="AI5" s="8" t="s">
        <v>60</v>
      </c>
      <c r="AK5" s="8" t="s">
        <v>60</v>
      </c>
      <c r="AL5" s="6">
        <v>1.0</v>
      </c>
    </row>
    <row r="6" ht="14.25" customHeight="1">
      <c r="A6" s="6" t="s">
        <v>61</v>
      </c>
      <c r="B6" s="6" t="s">
        <v>62</v>
      </c>
      <c r="C6" s="7" t="s">
        <v>40</v>
      </c>
      <c r="D6" s="7" t="s">
        <v>41</v>
      </c>
      <c r="E6" s="6" t="s">
        <v>63</v>
      </c>
      <c r="F6" s="6" t="s">
        <v>64</v>
      </c>
      <c r="G6" s="6" t="s">
        <v>65</v>
      </c>
      <c r="I6" s="6" t="s">
        <v>45</v>
      </c>
      <c r="J6" s="6" t="s">
        <v>7</v>
      </c>
      <c r="N6" s="6" t="s">
        <v>46</v>
      </c>
      <c r="O6" s="6" t="s">
        <v>66</v>
      </c>
      <c r="P6" s="8" t="s">
        <v>67</v>
      </c>
      <c r="Q6" s="8" t="s">
        <v>68</v>
      </c>
      <c r="R6" s="8" t="s">
        <v>69</v>
      </c>
      <c r="S6" s="8" t="s">
        <v>69</v>
      </c>
      <c r="W6" s="9">
        <f t="shared" si="1"/>
        <v>0.168587963</v>
      </c>
      <c r="Y6" s="2" t="str">
        <f t="shared" si="2"/>
        <v>Simple</v>
      </c>
      <c r="Z6" s="2" t="str">
        <f t="shared" si="3"/>
        <v>Simple</v>
      </c>
      <c r="AI6" s="8" t="s">
        <v>70</v>
      </c>
      <c r="AK6" s="8" t="s">
        <v>70</v>
      </c>
      <c r="AL6" s="6">
        <v>1.0</v>
      </c>
    </row>
    <row r="7" ht="14.25" customHeight="1">
      <c r="A7" s="6" t="s">
        <v>71</v>
      </c>
      <c r="B7" s="6" t="s">
        <v>72</v>
      </c>
      <c r="C7" s="7" t="s">
        <v>40</v>
      </c>
      <c r="D7" s="7" t="s">
        <v>41</v>
      </c>
      <c r="E7" s="6" t="s">
        <v>73</v>
      </c>
      <c r="F7" s="6" t="s">
        <v>43</v>
      </c>
      <c r="G7" s="6" t="s">
        <v>74</v>
      </c>
      <c r="I7" s="6" t="s">
        <v>45</v>
      </c>
      <c r="J7" s="6" t="s">
        <v>7</v>
      </c>
      <c r="N7" s="6" t="s">
        <v>46</v>
      </c>
      <c r="O7" s="6" t="s">
        <v>66</v>
      </c>
      <c r="P7" s="8" t="s">
        <v>75</v>
      </c>
      <c r="Q7" s="8" t="s">
        <v>76</v>
      </c>
      <c r="R7" s="8" t="s">
        <v>77</v>
      </c>
      <c r="S7" s="8" t="s">
        <v>77</v>
      </c>
      <c r="W7" s="9">
        <f t="shared" si="1"/>
        <v>1.184363426</v>
      </c>
      <c r="Y7" s="2" t="str">
        <f t="shared" si="2"/>
        <v>Simple</v>
      </c>
      <c r="Z7" s="2" t="str">
        <f t="shared" si="3"/>
        <v>Simple</v>
      </c>
      <c r="AI7" s="8" t="s">
        <v>78</v>
      </c>
      <c r="AK7" s="8" t="s">
        <v>78</v>
      </c>
      <c r="AL7" s="6">
        <v>1.0</v>
      </c>
    </row>
    <row r="8" ht="14.25" customHeight="1">
      <c r="A8" s="6" t="s">
        <v>79</v>
      </c>
      <c r="B8" s="6" t="s">
        <v>80</v>
      </c>
      <c r="C8" s="7" t="s">
        <v>40</v>
      </c>
      <c r="D8" s="7" t="s">
        <v>41</v>
      </c>
      <c r="E8" s="6" t="s">
        <v>81</v>
      </c>
      <c r="F8" s="6" t="s">
        <v>43</v>
      </c>
      <c r="G8" s="6" t="s">
        <v>82</v>
      </c>
      <c r="I8" s="6" t="s">
        <v>45</v>
      </c>
      <c r="J8" s="6" t="s">
        <v>7</v>
      </c>
      <c r="N8" s="6" t="s">
        <v>46</v>
      </c>
      <c r="O8" s="6" t="s">
        <v>83</v>
      </c>
      <c r="P8" s="8" t="s">
        <v>84</v>
      </c>
      <c r="Q8" s="8" t="s">
        <v>85</v>
      </c>
      <c r="R8" s="8" t="s">
        <v>86</v>
      </c>
      <c r="S8" s="8" t="s">
        <v>86</v>
      </c>
      <c r="W8" s="9">
        <f t="shared" si="1"/>
        <v>0.7093171296</v>
      </c>
      <c r="Y8" s="2" t="str">
        <f t="shared" si="2"/>
        <v>Simple</v>
      </c>
      <c r="Z8" s="2" t="str">
        <f t="shared" si="3"/>
        <v>Simple</v>
      </c>
      <c r="AI8" s="8" t="s">
        <v>87</v>
      </c>
      <c r="AK8" s="8" t="s">
        <v>87</v>
      </c>
      <c r="AL8" s="6">
        <v>1.0</v>
      </c>
    </row>
    <row r="9" ht="14.25" customHeight="1">
      <c r="A9" s="6" t="s">
        <v>88</v>
      </c>
      <c r="B9" s="6" t="s">
        <v>89</v>
      </c>
      <c r="C9" s="7" t="s">
        <v>40</v>
      </c>
      <c r="D9" s="7" t="s">
        <v>41</v>
      </c>
      <c r="E9" s="6" t="s">
        <v>90</v>
      </c>
      <c r="F9" s="6" t="s">
        <v>91</v>
      </c>
      <c r="G9" s="6" t="s">
        <v>92</v>
      </c>
      <c r="I9" s="6" t="s">
        <v>45</v>
      </c>
      <c r="J9" s="6" t="s">
        <v>7</v>
      </c>
      <c r="N9" s="6" t="s">
        <v>46</v>
      </c>
      <c r="O9" s="6" t="s">
        <v>47</v>
      </c>
      <c r="P9" s="8" t="s">
        <v>93</v>
      </c>
      <c r="Q9" s="8" t="s">
        <v>94</v>
      </c>
      <c r="R9" s="8" t="s">
        <v>95</v>
      </c>
      <c r="S9" s="8" t="s">
        <v>95</v>
      </c>
      <c r="W9" s="9">
        <f t="shared" si="1"/>
        <v>7.778483796</v>
      </c>
      <c r="Y9" s="2" t="str">
        <f t="shared" si="2"/>
        <v>Other</v>
      </c>
      <c r="Z9" s="2" t="str">
        <f t="shared" si="3"/>
        <v>Other</v>
      </c>
      <c r="AA9" s="7" t="s">
        <v>96</v>
      </c>
      <c r="AI9" s="8" t="s">
        <v>97</v>
      </c>
      <c r="AK9" s="8" t="s">
        <v>97</v>
      </c>
      <c r="AL9" s="6">
        <v>1.0</v>
      </c>
    </row>
    <row r="10" ht="14.25" customHeight="1">
      <c r="A10" s="6" t="s">
        <v>98</v>
      </c>
      <c r="B10" s="6" t="s">
        <v>99</v>
      </c>
      <c r="C10" s="7" t="s">
        <v>40</v>
      </c>
      <c r="D10" s="7" t="s">
        <v>41</v>
      </c>
      <c r="E10" s="6" t="s">
        <v>54</v>
      </c>
      <c r="F10" s="6" t="s">
        <v>43</v>
      </c>
      <c r="G10" s="6" t="s">
        <v>55</v>
      </c>
      <c r="I10" s="6" t="s">
        <v>45</v>
      </c>
      <c r="J10" s="6" t="s">
        <v>7</v>
      </c>
      <c r="N10" s="6" t="s">
        <v>46</v>
      </c>
      <c r="O10" s="6" t="s">
        <v>66</v>
      </c>
      <c r="P10" s="8" t="s">
        <v>100</v>
      </c>
      <c r="Q10" s="8" t="s">
        <v>101</v>
      </c>
      <c r="R10" s="8" t="s">
        <v>102</v>
      </c>
      <c r="S10" s="8" t="s">
        <v>102</v>
      </c>
      <c r="W10" s="9">
        <f t="shared" si="1"/>
        <v>4.089710648</v>
      </c>
      <c r="Y10" s="2" t="str">
        <f t="shared" si="2"/>
        <v>Complex</v>
      </c>
      <c r="Z10" s="2" t="str">
        <f t="shared" si="3"/>
        <v>Complex</v>
      </c>
      <c r="AI10" s="8" t="s">
        <v>103</v>
      </c>
      <c r="AK10" s="8" t="s">
        <v>103</v>
      </c>
      <c r="AL10" s="6">
        <v>2.0</v>
      </c>
    </row>
    <row r="11" ht="14.25" customHeight="1">
      <c r="A11" s="6" t="s">
        <v>104</v>
      </c>
      <c r="B11" s="6" t="s">
        <v>105</v>
      </c>
      <c r="C11" s="7" t="s">
        <v>40</v>
      </c>
      <c r="D11" s="7" t="s">
        <v>41</v>
      </c>
      <c r="E11" s="6" t="s">
        <v>106</v>
      </c>
      <c r="F11" s="6" t="s">
        <v>43</v>
      </c>
      <c r="G11" s="6" t="s">
        <v>107</v>
      </c>
      <c r="I11" s="6" t="s">
        <v>45</v>
      </c>
      <c r="J11" s="6" t="s">
        <v>7</v>
      </c>
      <c r="N11" s="6" t="s">
        <v>46</v>
      </c>
      <c r="O11" s="6" t="s">
        <v>47</v>
      </c>
      <c r="P11" s="8" t="s">
        <v>108</v>
      </c>
      <c r="Q11" s="8" t="s">
        <v>109</v>
      </c>
      <c r="R11" s="8" t="s">
        <v>110</v>
      </c>
      <c r="S11" s="8" t="s">
        <v>110</v>
      </c>
      <c r="W11" s="9">
        <f t="shared" si="1"/>
        <v>0.9456597222</v>
      </c>
      <c r="Y11" s="2" t="str">
        <f t="shared" si="2"/>
        <v>Simple</v>
      </c>
      <c r="Z11" s="2" t="str">
        <f t="shared" si="3"/>
        <v>Simple</v>
      </c>
      <c r="AI11" s="8" t="s">
        <v>111</v>
      </c>
      <c r="AK11" s="8" t="s">
        <v>111</v>
      </c>
      <c r="AL11" s="6">
        <v>1.0</v>
      </c>
    </row>
    <row r="12" ht="14.25" customHeight="1">
      <c r="A12" s="6" t="s">
        <v>112</v>
      </c>
      <c r="B12" s="6" t="s">
        <v>113</v>
      </c>
      <c r="C12" s="7" t="s">
        <v>40</v>
      </c>
      <c r="D12" s="7" t="s">
        <v>41</v>
      </c>
      <c r="E12" s="6" t="s">
        <v>73</v>
      </c>
      <c r="F12" s="6" t="s">
        <v>43</v>
      </c>
      <c r="G12" s="6" t="s">
        <v>74</v>
      </c>
      <c r="I12" s="6" t="s">
        <v>45</v>
      </c>
      <c r="J12" s="6" t="s">
        <v>7</v>
      </c>
      <c r="N12" s="6" t="s">
        <v>46</v>
      </c>
      <c r="O12" s="6" t="s">
        <v>47</v>
      </c>
      <c r="P12" s="8" t="s">
        <v>114</v>
      </c>
      <c r="Q12" s="8" t="s">
        <v>115</v>
      </c>
      <c r="R12" s="8" t="s">
        <v>116</v>
      </c>
      <c r="S12" s="8" t="s">
        <v>116</v>
      </c>
      <c r="W12" s="9">
        <f t="shared" si="1"/>
        <v>0.01597222222</v>
      </c>
      <c r="Y12" s="2" t="str">
        <f t="shared" si="2"/>
        <v>Simple</v>
      </c>
      <c r="Z12" s="2" t="str">
        <f t="shared" si="3"/>
        <v>Simple</v>
      </c>
      <c r="AI12" s="8" t="s">
        <v>117</v>
      </c>
      <c r="AK12" s="8" t="s">
        <v>117</v>
      </c>
      <c r="AL12" s="6">
        <v>1.0</v>
      </c>
    </row>
    <row r="13" ht="14.25" customHeight="1">
      <c r="A13" s="6" t="s">
        <v>118</v>
      </c>
      <c r="B13" s="6" t="s">
        <v>119</v>
      </c>
      <c r="C13" s="7" t="s">
        <v>40</v>
      </c>
      <c r="D13" s="7" t="s">
        <v>41</v>
      </c>
      <c r="E13" s="6" t="s">
        <v>42</v>
      </c>
      <c r="F13" s="6" t="s">
        <v>43</v>
      </c>
      <c r="G13" s="6" t="s">
        <v>44</v>
      </c>
      <c r="I13" s="6" t="s">
        <v>45</v>
      </c>
      <c r="J13" s="6" t="s">
        <v>7</v>
      </c>
      <c r="N13" s="6" t="s">
        <v>46</v>
      </c>
      <c r="O13" s="6" t="s">
        <v>47</v>
      </c>
      <c r="P13" s="8" t="s">
        <v>120</v>
      </c>
      <c r="Q13" s="8" t="s">
        <v>121</v>
      </c>
      <c r="R13" s="8" t="s">
        <v>122</v>
      </c>
      <c r="S13" s="8" t="s">
        <v>122</v>
      </c>
      <c r="W13" s="9">
        <f t="shared" si="1"/>
        <v>0.1151851852</v>
      </c>
      <c r="Y13" s="2" t="str">
        <f t="shared" si="2"/>
        <v>Simple</v>
      </c>
      <c r="Z13" s="2" t="str">
        <f t="shared" si="3"/>
        <v>Simple</v>
      </c>
      <c r="AI13" s="8" t="s">
        <v>123</v>
      </c>
      <c r="AK13" s="8" t="s">
        <v>123</v>
      </c>
      <c r="AL13" s="6">
        <v>2.0</v>
      </c>
    </row>
    <row r="14" ht="14.25" customHeight="1">
      <c r="A14" s="6" t="s">
        <v>124</v>
      </c>
      <c r="B14" s="6" t="s">
        <v>125</v>
      </c>
      <c r="C14" s="7" t="s">
        <v>40</v>
      </c>
      <c r="D14" s="7" t="s">
        <v>41</v>
      </c>
      <c r="E14" s="6" t="s">
        <v>42</v>
      </c>
      <c r="F14" s="6" t="s">
        <v>43</v>
      </c>
      <c r="G14" s="6" t="s">
        <v>44</v>
      </c>
      <c r="I14" s="6" t="s">
        <v>45</v>
      </c>
      <c r="J14" s="6" t="s">
        <v>7</v>
      </c>
      <c r="N14" s="6" t="s">
        <v>46</v>
      </c>
      <c r="O14" s="6" t="s">
        <v>47</v>
      </c>
      <c r="P14" s="8" t="s">
        <v>126</v>
      </c>
      <c r="Q14" s="8" t="s">
        <v>127</v>
      </c>
      <c r="R14" s="8" t="s">
        <v>128</v>
      </c>
      <c r="S14" s="8" t="s">
        <v>128</v>
      </c>
      <c r="W14" s="9">
        <f t="shared" si="1"/>
        <v>0.1683680556</v>
      </c>
      <c r="Y14" s="2" t="str">
        <f t="shared" si="2"/>
        <v>Simple</v>
      </c>
      <c r="Z14" s="2" t="str">
        <f t="shared" si="3"/>
        <v>Simple</v>
      </c>
      <c r="AI14" s="8" t="s">
        <v>129</v>
      </c>
      <c r="AK14" s="8" t="s">
        <v>129</v>
      </c>
      <c r="AL14" s="6">
        <v>2.0</v>
      </c>
    </row>
    <row r="15" ht="14.25" customHeight="1">
      <c r="A15" s="6" t="s">
        <v>130</v>
      </c>
      <c r="B15" s="6" t="s">
        <v>131</v>
      </c>
      <c r="C15" s="7" t="s">
        <v>40</v>
      </c>
      <c r="D15" s="7" t="s">
        <v>41</v>
      </c>
      <c r="E15" s="6" t="s">
        <v>132</v>
      </c>
      <c r="F15" s="6" t="s">
        <v>133</v>
      </c>
      <c r="G15" s="6" t="s">
        <v>134</v>
      </c>
      <c r="I15" s="6" t="s">
        <v>45</v>
      </c>
      <c r="J15" s="6" t="s">
        <v>7</v>
      </c>
      <c r="N15" s="6" t="s">
        <v>46</v>
      </c>
      <c r="O15" s="6" t="s">
        <v>135</v>
      </c>
      <c r="P15" s="8" t="s">
        <v>136</v>
      </c>
      <c r="Q15" s="8" t="s">
        <v>137</v>
      </c>
      <c r="R15" s="8" t="s">
        <v>138</v>
      </c>
      <c r="S15" s="8" t="s">
        <v>138</v>
      </c>
      <c r="W15" s="9">
        <f t="shared" si="1"/>
        <v>0.01914351852</v>
      </c>
      <c r="Y15" s="2" t="str">
        <f t="shared" si="2"/>
        <v>Simple</v>
      </c>
      <c r="Z15" s="2" t="str">
        <f t="shared" si="3"/>
        <v>Simple</v>
      </c>
      <c r="AI15" s="8" t="s">
        <v>48</v>
      </c>
      <c r="AK15" s="8" t="s">
        <v>48</v>
      </c>
      <c r="AL15" s="6">
        <v>1.0</v>
      </c>
    </row>
    <row r="16" ht="14.25" customHeight="1">
      <c r="A16" s="6" t="s">
        <v>139</v>
      </c>
      <c r="B16" s="6" t="s">
        <v>140</v>
      </c>
      <c r="C16" s="7" t="s">
        <v>40</v>
      </c>
      <c r="D16" s="7" t="s">
        <v>41</v>
      </c>
      <c r="E16" s="6" t="s">
        <v>141</v>
      </c>
      <c r="F16" s="6" t="s">
        <v>64</v>
      </c>
      <c r="G16" s="6" t="s">
        <v>142</v>
      </c>
      <c r="I16" s="6" t="s">
        <v>45</v>
      </c>
      <c r="J16" s="6" t="s">
        <v>7</v>
      </c>
      <c r="N16" s="6" t="s">
        <v>46</v>
      </c>
      <c r="O16" s="6" t="s">
        <v>47</v>
      </c>
      <c r="P16" s="8" t="s">
        <v>143</v>
      </c>
      <c r="Q16" s="8" t="s">
        <v>144</v>
      </c>
      <c r="R16" s="8" t="s">
        <v>145</v>
      </c>
      <c r="S16" s="8" t="s">
        <v>145</v>
      </c>
      <c r="W16" s="9">
        <f t="shared" si="1"/>
        <v>0.1069675926</v>
      </c>
      <c r="Y16" s="2" t="str">
        <f t="shared" si="2"/>
        <v>Simple</v>
      </c>
      <c r="Z16" s="2" t="str">
        <f t="shared" si="3"/>
        <v>Simple</v>
      </c>
      <c r="AI16" s="8" t="s">
        <v>57</v>
      </c>
      <c r="AK16" s="8" t="s">
        <v>57</v>
      </c>
      <c r="AL16" s="6">
        <v>1.0</v>
      </c>
    </row>
    <row r="17" ht="14.25" customHeight="1">
      <c r="A17" s="6" t="s">
        <v>146</v>
      </c>
      <c r="B17" s="6" t="s">
        <v>147</v>
      </c>
      <c r="C17" s="7" t="s">
        <v>40</v>
      </c>
      <c r="D17" s="7" t="s">
        <v>41</v>
      </c>
      <c r="E17" s="6" t="s">
        <v>54</v>
      </c>
      <c r="F17" s="6" t="s">
        <v>43</v>
      </c>
      <c r="G17" s="6" t="s">
        <v>148</v>
      </c>
      <c r="I17" s="6" t="s">
        <v>45</v>
      </c>
      <c r="J17" s="6" t="s">
        <v>7</v>
      </c>
      <c r="N17" s="6" t="s">
        <v>46</v>
      </c>
      <c r="O17" s="6" t="s">
        <v>149</v>
      </c>
      <c r="P17" s="8" t="s">
        <v>150</v>
      </c>
      <c r="Q17" s="8" t="s">
        <v>151</v>
      </c>
      <c r="R17" s="8" t="s">
        <v>152</v>
      </c>
      <c r="S17" s="8" t="s">
        <v>152</v>
      </c>
      <c r="W17" s="9">
        <f t="shared" si="1"/>
        <v>0.7488425926</v>
      </c>
      <c r="Y17" s="2" t="str">
        <f t="shared" si="2"/>
        <v>Simple</v>
      </c>
      <c r="Z17" s="2" t="str">
        <f t="shared" si="3"/>
        <v>Simple</v>
      </c>
      <c r="AI17" s="8" t="s">
        <v>67</v>
      </c>
      <c r="AK17" s="8" t="s">
        <v>67</v>
      </c>
      <c r="AL17" s="6">
        <v>2.0</v>
      </c>
    </row>
    <row r="18" ht="14.25" customHeight="1">
      <c r="A18" s="6" t="s">
        <v>153</v>
      </c>
      <c r="B18" s="6" t="s">
        <v>154</v>
      </c>
      <c r="C18" s="7" t="s">
        <v>40</v>
      </c>
      <c r="D18" s="7" t="s">
        <v>41</v>
      </c>
      <c r="E18" s="6" t="s">
        <v>155</v>
      </c>
      <c r="F18" s="6" t="s">
        <v>156</v>
      </c>
      <c r="G18" s="6" t="s">
        <v>157</v>
      </c>
      <c r="I18" s="6" t="s">
        <v>45</v>
      </c>
      <c r="J18" s="6" t="s">
        <v>7</v>
      </c>
      <c r="N18" s="6" t="s">
        <v>46</v>
      </c>
      <c r="O18" s="6" t="s">
        <v>83</v>
      </c>
      <c r="P18" s="8" t="s">
        <v>158</v>
      </c>
      <c r="Q18" s="8" t="s">
        <v>159</v>
      </c>
      <c r="R18" s="8" t="s">
        <v>160</v>
      </c>
      <c r="S18" s="8" t="s">
        <v>160</v>
      </c>
      <c r="W18" s="9">
        <f t="shared" si="1"/>
        <v>3.024236111</v>
      </c>
      <c r="Y18" s="2" t="str">
        <f t="shared" si="2"/>
        <v>Complex</v>
      </c>
      <c r="Z18" s="2" t="str">
        <f t="shared" si="3"/>
        <v>Complex</v>
      </c>
      <c r="AI18" s="8" t="s">
        <v>161</v>
      </c>
      <c r="AK18" s="8" t="s">
        <v>161</v>
      </c>
      <c r="AL18" s="6">
        <v>2.0</v>
      </c>
    </row>
    <row r="19" ht="14.25" customHeight="1">
      <c r="A19" s="6" t="s">
        <v>162</v>
      </c>
      <c r="B19" s="6" t="s">
        <v>163</v>
      </c>
      <c r="C19" s="7" t="s">
        <v>40</v>
      </c>
      <c r="D19" s="7" t="s">
        <v>41</v>
      </c>
      <c r="E19" s="6" t="s">
        <v>90</v>
      </c>
      <c r="F19" s="6" t="s">
        <v>43</v>
      </c>
      <c r="G19" s="6" t="s">
        <v>164</v>
      </c>
      <c r="I19" s="6" t="s">
        <v>45</v>
      </c>
      <c r="J19" s="6" t="s">
        <v>7</v>
      </c>
      <c r="N19" s="6" t="s">
        <v>46</v>
      </c>
      <c r="O19" s="6" t="s">
        <v>83</v>
      </c>
      <c r="P19" s="8" t="s">
        <v>165</v>
      </c>
      <c r="Q19" s="8" t="s">
        <v>166</v>
      </c>
      <c r="R19" s="8" t="s">
        <v>167</v>
      </c>
      <c r="S19" s="8" t="s">
        <v>167</v>
      </c>
      <c r="W19" s="9">
        <f t="shared" si="1"/>
        <v>0.01763888889</v>
      </c>
      <c r="Y19" s="2" t="str">
        <f t="shared" si="2"/>
        <v>Simple</v>
      </c>
      <c r="Z19" s="2" t="str">
        <f t="shared" si="3"/>
        <v>Simple</v>
      </c>
      <c r="AI19" s="8" t="s">
        <v>168</v>
      </c>
      <c r="AK19" s="8" t="s">
        <v>168</v>
      </c>
      <c r="AL19" s="6">
        <v>1.0</v>
      </c>
    </row>
    <row r="20" ht="14.25" customHeight="1">
      <c r="A20" s="6" t="s">
        <v>169</v>
      </c>
      <c r="B20" s="6" t="s">
        <v>170</v>
      </c>
      <c r="C20" s="7" t="s">
        <v>40</v>
      </c>
      <c r="D20" s="7" t="s">
        <v>41</v>
      </c>
      <c r="E20" s="6" t="s">
        <v>81</v>
      </c>
      <c r="F20" s="6" t="s">
        <v>171</v>
      </c>
      <c r="G20" s="6" t="s">
        <v>82</v>
      </c>
      <c r="I20" s="6" t="s">
        <v>45</v>
      </c>
      <c r="J20" s="6" t="s">
        <v>7</v>
      </c>
      <c r="N20" s="6" t="s">
        <v>46</v>
      </c>
      <c r="O20" s="6" t="s">
        <v>149</v>
      </c>
      <c r="P20" s="8" t="s">
        <v>172</v>
      </c>
      <c r="Q20" s="8" t="s">
        <v>173</v>
      </c>
      <c r="R20" s="8" t="s">
        <v>174</v>
      </c>
      <c r="S20" s="8" t="s">
        <v>174</v>
      </c>
      <c r="W20" s="9">
        <f t="shared" si="1"/>
        <v>0.01105324074</v>
      </c>
      <c r="Y20" s="2" t="str">
        <f t="shared" si="2"/>
        <v>Simple</v>
      </c>
      <c r="Z20" s="2" t="str">
        <f t="shared" si="3"/>
        <v>Simple</v>
      </c>
      <c r="AI20" s="8" t="s">
        <v>175</v>
      </c>
      <c r="AK20" s="8" t="s">
        <v>175</v>
      </c>
      <c r="AL20" s="6">
        <v>2.0</v>
      </c>
    </row>
    <row r="21" ht="14.25" customHeight="1">
      <c r="A21" s="6" t="s">
        <v>176</v>
      </c>
      <c r="B21" s="6" t="s">
        <v>177</v>
      </c>
      <c r="C21" s="7" t="s">
        <v>40</v>
      </c>
      <c r="D21" s="7" t="s">
        <v>41</v>
      </c>
      <c r="E21" s="6" t="s">
        <v>90</v>
      </c>
      <c r="F21" s="6" t="s">
        <v>43</v>
      </c>
      <c r="G21" s="6" t="s">
        <v>178</v>
      </c>
      <c r="I21" s="6" t="s">
        <v>45</v>
      </c>
      <c r="J21" s="6" t="s">
        <v>7</v>
      </c>
      <c r="N21" s="6" t="s">
        <v>46</v>
      </c>
      <c r="O21" s="6" t="s">
        <v>47</v>
      </c>
      <c r="P21" s="8" t="s">
        <v>179</v>
      </c>
      <c r="Q21" s="8" t="s">
        <v>180</v>
      </c>
      <c r="R21" s="8" t="s">
        <v>181</v>
      </c>
      <c r="S21" s="8" t="s">
        <v>181</v>
      </c>
      <c r="W21" s="9">
        <f t="shared" si="1"/>
        <v>0.1159375</v>
      </c>
      <c r="Y21" s="2" t="str">
        <f t="shared" si="2"/>
        <v>Simple</v>
      </c>
      <c r="Z21" s="2" t="str">
        <f t="shared" si="3"/>
        <v>Simple</v>
      </c>
      <c r="AI21" s="8" t="s">
        <v>182</v>
      </c>
      <c r="AK21" s="8" t="s">
        <v>182</v>
      </c>
      <c r="AL21" s="6">
        <v>1.0</v>
      </c>
    </row>
    <row r="22" ht="14.25" customHeight="1">
      <c r="A22" s="6" t="s">
        <v>183</v>
      </c>
      <c r="B22" s="6" t="s">
        <v>184</v>
      </c>
      <c r="C22" s="7" t="s">
        <v>40</v>
      </c>
      <c r="D22" s="7" t="s">
        <v>41</v>
      </c>
      <c r="E22" s="6" t="s">
        <v>185</v>
      </c>
      <c r="F22" s="6" t="s">
        <v>43</v>
      </c>
      <c r="G22" s="6" t="s">
        <v>186</v>
      </c>
      <c r="I22" s="6" t="s">
        <v>45</v>
      </c>
      <c r="J22" s="6" t="s">
        <v>7</v>
      </c>
      <c r="N22" s="6" t="s">
        <v>46</v>
      </c>
      <c r="O22" s="6" t="s">
        <v>47</v>
      </c>
      <c r="P22" s="8" t="s">
        <v>187</v>
      </c>
      <c r="Q22" s="8" t="s">
        <v>188</v>
      </c>
      <c r="R22" s="8" t="s">
        <v>189</v>
      </c>
      <c r="S22" s="8" t="s">
        <v>189</v>
      </c>
      <c r="W22" s="9">
        <f t="shared" si="1"/>
        <v>0.09806712963</v>
      </c>
      <c r="Y22" s="2" t="str">
        <f t="shared" si="2"/>
        <v>Simple</v>
      </c>
      <c r="Z22" s="2" t="str">
        <f t="shared" si="3"/>
        <v>Simple</v>
      </c>
      <c r="AI22" s="8" t="s">
        <v>93</v>
      </c>
      <c r="AK22" s="8" t="s">
        <v>93</v>
      </c>
      <c r="AL22" s="6">
        <v>2.0</v>
      </c>
    </row>
    <row r="23" ht="14.25" customHeight="1">
      <c r="A23" s="6" t="s">
        <v>190</v>
      </c>
      <c r="B23" s="6" t="s">
        <v>191</v>
      </c>
      <c r="C23" s="7" t="s">
        <v>40</v>
      </c>
      <c r="D23" s="7" t="s">
        <v>41</v>
      </c>
      <c r="E23" s="6" t="s">
        <v>42</v>
      </c>
      <c r="F23" s="6" t="s">
        <v>43</v>
      </c>
      <c r="G23" s="6" t="s">
        <v>44</v>
      </c>
      <c r="I23" s="6" t="s">
        <v>45</v>
      </c>
      <c r="J23" s="6" t="s">
        <v>7</v>
      </c>
      <c r="N23" s="6" t="s">
        <v>46</v>
      </c>
      <c r="O23" s="6" t="s">
        <v>47</v>
      </c>
      <c r="P23" s="8" t="s">
        <v>192</v>
      </c>
      <c r="Q23" s="8" t="s">
        <v>193</v>
      </c>
      <c r="R23" s="8" t="s">
        <v>194</v>
      </c>
      <c r="S23" s="8" t="s">
        <v>194</v>
      </c>
      <c r="W23" s="9">
        <f t="shared" si="1"/>
        <v>0.9077199074</v>
      </c>
      <c r="Y23" s="2" t="str">
        <f t="shared" si="2"/>
        <v>Simple</v>
      </c>
      <c r="Z23" s="2" t="str">
        <f t="shared" si="3"/>
        <v>Simple</v>
      </c>
      <c r="AI23" s="8" t="s">
        <v>195</v>
      </c>
      <c r="AK23" s="8" t="s">
        <v>195</v>
      </c>
      <c r="AL23" s="6">
        <v>2.0</v>
      </c>
    </row>
    <row r="24" ht="14.25" customHeight="1">
      <c r="A24" s="6" t="s">
        <v>196</v>
      </c>
      <c r="B24" s="6" t="s">
        <v>197</v>
      </c>
      <c r="C24" s="7" t="s">
        <v>40</v>
      </c>
      <c r="D24" s="7" t="s">
        <v>41</v>
      </c>
      <c r="E24" s="6" t="s">
        <v>141</v>
      </c>
      <c r="F24" s="6" t="s">
        <v>43</v>
      </c>
      <c r="G24" s="6" t="s">
        <v>198</v>
      </c>
      <c r="I24" s="6" t="s">
        <v>45</v>
      </c>
      <c r="J24" s="6" t="s">
        <v>7</v>
      </c>
      <c r="N24" s="6" t="s">
        <v>46</v>
      </c>
      <c r="O24" s="6" t="s">
        <v>83</v>
      </c>
      <c r="P24" s="8" t="s">
        <v>199</v>
      </c>
      <c r="Q24" s="8" t="s">
        <v>200</v>
      </c>
      <c r="R24" s="8" t="s">
        <v>201</v>
      </c>
      <c r="S24" s="8" t="s">
        <v>201</v>
      </c>
      <c r="W24" s="9">
        <f t="shared" si="1"/>
        <v>0.06373842592</v>
      </c>
      <c r="Y24" s="2" t="str">
        <f t="shared" si="2"/>
        <v>Simple</v>
      </c>
      <c r="Z24" s="2" t="str">
        <f t="shared" si="3"/>
        <v>Simple</v>
      </c>
      <c r="AI24" s="8" t="s">
        <v>108</v>
      </c>
      <c r="AK24" s="8" t="s">
        <v>108</v>
      </c>
      <c r="AL24" s="6">
        <v>1.0</v>
      </c>
    </row>
    <row r="25" ht="14.25" customHeight="1">
      <c r="A25" s="6" t="s">
        <v>202</v>
      </c>
      <c r="B25" s="6" t="s">
        <v>203</v>
      </c>
      <c r="C25" s="7" t="s">
        <v>40</v>
      </c>
      <c r="D25" s="7" t="s">
        <v>41</v>
      </c>
      <c r="E25" s="6" t="s">
        <v>63</v>
      </c>
      <c r="F25" s="6" t="s">
        <v>64</v>
      </c>
      <c r="G25" s="6" t="s">
        <v>65</v>
      </c>
      <c r="I25" s="6" t="s">
        <v>45</v>
      </c>
      <c r="J25" s="6" t="s">
        <v>7</v>
      </c>
      <c r="N25" s="6" t="s">
        <v>46</v>
      </c>
      <c r="O25" s="6" t="s">
        <v>47</v>
      </c>
      <c r="P25" s="8" t="s">
        <v>204</v>
      </c>
      <c r="Q25" s="8" t="s">
        <v>205</v>
      </c>
      <c r="R25" s="8" t="s">
        <v>206</v>
      </c>
      <c r="S25" s="8" t="s">
        <v>206</v>
      </c>
      <c r="W25" s="9">
        <f t="shared" si="1"/>
        <v>0.8291087963</v>
      </c>
      <c r="Y25" s="2" t="str">
        <f t="shared" si="2"/>
        <v>Simple</v>
      </c>
      <c r="Z25" s="2" t="str">
        <f t="shared" si="3"/>
        <v>Simple</v>
      </c>
      <c r="AI25" s="8" t="s">
        <v>114</v>
      </c>
      <c r="AK25" s="8" t="s">
        <v>114</v>
      </c>
      <c r="AL25" s="6">
        <v>2.0</v>
      </c>
    </row>
    <row r="26" ht="14.25" customHeight="1">
      <c r="A26" s="6" t="s">
        <v>207</v>
      </c>
      <c r="B26" s="6" t="s">
        <v>208</v>
      </c>
      <c r="C26" s="7" t="s">
        <v>40</v>
      </c>
      <c r="D26" s="7" t="s">
        <v>41</v>
      </c>
      <c r="E26" s="6" t="s">
        <v>209</v>
      </c>
      <c r="F26" s="6" t="s">
        <v>91</v>
      </c>
      <c r="G26" s="6" t="s">
        <v>210</v>
      </c>
      <c r="I26" s="6" t="s">
        <v>45</v>
      </c>
      <c r="J26" s="6" t="s">
        <v>7</v>
      </c>
      <c r="N26" s="6" t="s">
        <v>46</v>
      </c>
      <c r="O26" s="6" t="s">
        <v>47</v>
      </c>
      <c r="P26" s="8" t="s">
        <v>211</v>
      </c>
      <c r="Q26" s="8" t="s">
        <v>212</v>
      </c>
      <c r="R26" s="8" t="s">
        <v>213</v>
      </c>
      <c r="S26" s="8" t="s">
        <v>213</v>
      </c>
      <c r="W26" s="9">
        <f t="shared" si="1"/>
        <v>0.9065740741</v>
      </c>
      <c r="Y26" s="2" t="str">
        <f t="shared" si="2"/>
        <v>Simple</v>
      </c>
      <c r="Z26" s="2" t="str">
        <f t="shared" si="3"/>
        <v>Simple</v>
      </c>
      <c r="AI26" s="8" t="s">
        <v>214</v>
      </c>
      <c r="AK26" s="8" t="s">
        <v>214</v>
      </c>
      <c r="AL26" s="6">
        <v>1.0</v>
      </c>
    </row>
    <row r="27" ht="14.25" customHeight="1">
      <c r="A27" s="6" t="s">
        <v>215</v>
      </c>
      <c r="B27" s="6" t="s">
        <v>216</v>
      </c>
      <c r="C27" s="7" t="s">
        <v>40</v>
      </c>
      <c r="D27" s="7" t="s">
        <v>41</v>
      </c>
      <c r="E27" s="6" t="s">
        <v>209</v>
      </c>
      <c r="F27" s="6" t="s">
        <v>91</v>
      </c>
      <c r="G27" s="6" t="s">
        <v>210</v>
      </c>
      <c r="I27" s="6" t="s">
        <v>45</v>
      </c>
      <c r="J27" s="6" t="s">
        <v>7</v>
      </c>
      <c r="N27" s="6" t="s">
        <v>46</v>
      </c>
      <c r="O27" s="6" t="s">
        <v>47</v>
      </c>
      <c r="P27" s="8" t="s">
        <v>217</v>
      </c>
      <c r="Q27" s="8" t="s">
        <v>218</v>
      </c>
      <c r="R27" s="8" t="s">
        <v>219</v>
      </c>
      <c r="S27" s="8" t="s">
        <v>219</v>
      </c>
      <c r="W27" s="9">
        <f t="shared" si="1"/>
        <v>5.889861111</v>
      </c>
      <c r="Y27" s="2" t="str">
        <f t="shared" si="2"/>
        <v>Complex</v>
      </c>
      <c r="Z27" s="2" t="str">
        <f t="shared" si="3"/>
        <v>Complex</v>
      </c>
      <c r="AI27" s="8" t="s">
        <v>220</v>
      </c>
      <c r="AK27" s="8" t="s">
        <v>220</v>
      </c>
      <c r="AL27" s="6">
        <v>1.0</v>
      </c>
    </row>
    <row r="28" ht="14.25" customHeight="1">
      <c r="A28" s="6" t="s">
        <v>221</v>
      </c>
      <c r="B28" s="6" t="s">
        <v>222</v>
      </c>
      <c r="C28" s="7" t="s">
        <v>40</v>
      </c>
      <c r="D28" s="7" t="s">
        <v>41</v>
      </c>
      <c r="E28" s="6" t="s">
        <v>223</v>
      </c>
      <c r="F28" s="6" t="s">
        <v>224</v>
      </c>
      <c r="G28" s="6" t="s">
        <v>225</v>
      </c>
      <c r="I28" s="6" t="s">
        <v>45</v>
      </c>
      <c r="J28" s="6" t="s">
        <v>7</v>
      </c>
      <c r="N28" s="6" t="s">
        <v>46</v>
      </c>
      <c r="O28" s="6" t="s">
        <v>66</v>
      </c>
      <c r="P28" s="8" t="s">
        <v>226</v>
      </c>
      <c r="Q28" s="8" t="s">
        <v>227</v>
      </c>
      <c r="R28" s="8" t="s">
        <v>228</v>
      </c>
      <c r="S28" s="8" t="s">
        <v>228</v>
      </c>
      <c r="W28" s="9">
        <f t="shared" si="1"/>
        <v>0.1001736111</v>
      </c>
      <c r="Y28" s="2" t="str">
        <f t="shared" si="2"/>
        <v>Simple</v>
      </c>
      <c r="Z28" s="2" t="str">
        <f t="shared" si="3"/>
        <v>Simple</v>
      </c>
      <c r="AI28" s="8" t="s">
        <v>126</v>
      </c>
      <c r="AK28" s="8" t="s">
        <v>126</v>
      </c>
      <c r="AL28" s="6">
        <v>1.0</v>
      </c>
    </row>
    <row r="29" ht="14.25" customHeight="1">
      <c r="A29" s="6" t="s">
        <v>229</v>
      </c>
      <c r="B29" s="6" t="s">
        <v>230</v>
      </c>
      <c r="C29" s="7" t="s">
        <v>40</v>
      </c>
      <c r="D29" s="7" t="s">
        <v>41</v>
      </c>
      <c r="E29" s="6" t="s">
        <v>231</v>
      </c>
      <c r="F29" s="6" t="s">
        <v>43</v>
      </c>
      <c r="G29" s="6" t="s">
        <v>232</v>
      </c>
      <c r="I29" s="6" t="s">
        <v>45</v>
      </c>
      <c r="J29" s="6" t="s">
        <v>7</v>
      </c>
      <c r="N29" s="6" t="s">
        <v>46</v>
      </c>
      <c r="O29" s="6" t="s">
        <v>66</v>
      </c>
      <c r="P29" s="8" t="s">
        <v>233</v>
      </c>
      <c r="Q29" s="8" t="s">
        <v>234</v>
      </c>
      <c r="R29" s="8" t="s">
        <v>235</v>
      </c>
      <c r="S29" s="8" t="s">
        <v>235</v>
      </c>
      <c r="W29" s="9">
        <f t="shared" si="1"/>
        <v>1.018159722</v>
      </c>
      <c r="Y29" s="2" t="str">
        <f t="shared" si="2"/>
        <v>Simple</v>
      </c>
      <c r="Z29" s="2" t="str">
        <f t="shared" si="3"/>
        <v>Simple</v>
      </c>
      <c r="AI29" s="8" t="s">
        <v>236</v>
      </c>
      <c r="AK29" s="8" t="s">
        <v>236</v>
      </c>
      <c r="AL29" s="6">
        <v>1.0</v>
      </c>
    </row>
    <row r="30" ht="14.25" customHeight="1">
      <c r="A30" s="6" t="s">
        <v>237</v>
      </c>
      <c r="B30" s="6" t="s">
        <v>238</v>
      </c>
      <c r="C30" s="7" t="s">
        <v>40</v>
      </c>
      <c r="D30" s="7" t="s">
        <v>41</v>
      </c>
      <c r="E30" s="6" t="s">
        <v>231</v>
      </c>
      <c r="F30" s="6" t="s">
        <v>64</v>
      </c>
      <c r="G30" s="6" t="s">
        <v>239</v>
      </c>
      <c r="I30" s="6" t="s">
        <v>45</v>
      </c>
      <c r="J30" s="6" t="s">
        <v>7</v>
      </c>
      <c r="N30" s="6" t="s">
        <v>46</v>
      </c>
      <c r="O30" s="6" t="s">
        <v>66</v>
      </c>
      <c r="P30" s="8" t="s">
        <v>240</v>
      </c>
      <c r="Q30" s="8" t="s">
        <v>241</v>
      </c>
      <c r="R30" s="8" t="s">
        <v>242</v>
      </c>
      <c r="S30" s="8" t="s">
        <v>242</v>
      </c>
      <c r="W30" s="9">
        <f t="shared" si="1"/>
        <v>1.026388889</v>
      </c>
      <c r="Y30" s="2" t="str">
        <f t="shared" si="2"/>
        <v>Simple</v>
      </c>
      <c r="Z30" s="2" t="str">
        <f t="shared" si="3"/>
        <v>Simple</v>
      </c>
      <c r="AI30" s="8" t="s">
        <v>136</v>
      </c>
      <c r="AK30" s="8" t="s">
        <v>136</v>
      </c>
      <c r="AL30" s="6">
        <v>2.0</v>
      </c>
    </row>
    <row r="31" ht="14.25" customHeight="1">
      <c r="A31" s="6" t="s">
        <v>243</v>
      </c>
      <c r="B31" s="6" t="s">
        <v>244</v>
      </c>
      <c r="C31" s="7" t="s">
        <v>40</v>
      </c>
      <c r="D31" s="7" t="s">
        <v>41</v>
      </c>
      <c r="E31" s="6" t="s">
        <v>231</v>
      </c>
      <c r="F31" s="6" t="s">
        <v>64</v>
      </c>
      <c r="G31" s="6" t="s">
        <v>245</v>
      </c>
      <c r="I31" s="6" t="s">
        <v>45</v>
      </c>
      <c r="J31" s="6" t="s">
        <v>7</v>
      </c>
      <c r="K31" s="6" t="s">
        <v>246</v>
      </c>
      <c r="N31" s="6" t="s">
        <v>46</v>
      </c>
      <c r="O31" s="6" t="s">
        <v>66</v>
      </c>
      <c r="P31" s="8" t="s">
        <v>247</v>
      </c>
      <c r="Q31" s="8" t="s">
        <v>248</v>
      </c>
      <c r="R31" s="8" t="s">
        <v>249</v>
      </c>
      <c r="S31" s="8" t="s">
        <v>249</v>
      </c>
      <c r="W31" s="9">
        <f t="shared" si="1"/>
        <v>1.034016204</v>
      </c>
      <c r="Y31" s="2" t="str">
        <f t="shared" si="2"/>
        <v>Simple</v>
      </c>
      <c r="Z31" s="2" t="str">
        <f t="shared" si="3"/>
        <v>Simple</v>
      </c>
      <c r="AI31" s="8" t="s">
        <v>250</v>
      </c>
      <c r="AK31" s="8" t="s">
        <v>250</v>
      </c>
      <c r="AL31" s="6">
        <v>1.0</v>
      </c>
    </row>
    <row r="32" ht="14.25" customHeight="1">
      <c r="A32" s="6" t="s">
        <v>251</v>
      </c>
      <c r="B32" s="6" t="s">
        <v>252</v>
      </c>
      <c r="C32" s="7" t="s">
        <v>40</v>
      </c>
      <c r="D32" s="7" t="s">
        <v>41</v>
      </c>
      <c r="E32" s="6" t="s">
        <v>90</v>
      </c>
      <c r="F32" s="6" t="s">
        <v>64</v>
      </c>
      <c r="G32" s="6" t="s">
        <v>253</v>
      </c>
      <c r="I32" s="6" t="s">
        <v>45</v>
      </c>
      <c r="J32" s="6" t="s">
        <v>7</v>
      </c>
      <c r="N32" s="6" t="s">
        <v>46</v>
      </c>
      <c r="O32" s="6" t="s">
        <v>47</v>
      </c>
      <c r="P32" s="8" t="s">
        <v>254</v>
      </c>
      <c r="Q32" s="8" t="s">
        <v>255</v>
      </c>
      <c r="R32" s="8" t="s">
        <v>255</v>
      </c>
      <c r="S32" s="8" t="s">
        <v>255</v>
      </c>
      <c r="W32" s="9">
        <f t="shared" si="1"/>
        <v>0.9430787037</v>
      </c>
      <c r="Y32" s="2" t="str">
        <f t="shared" si="2"/>
        <v>Simple</v>
      </c>
      <c r="Z32" s="2" t="str">
        <f t="shared" si="3"/>
        <v>Simple</v>
      </c>
      <c r="AI32" s="8" t="s">
        <v>256</v>
      </c>
      <c r="AK32" s="8" t="s">
        <v>256</v>
      </c>
      <c r="AL32" s="6">
        <v>1.0</v>
      </c>
    </row>
    <row r="33" ht="14.25" customHeight="1">
      <c r="A33" s="6" t="s">
        <v>257</v>
      </c>
      <c r="B33" s="6" t="s">
        <v>258</v>
      </c>
      <c r="C33" s="7" t="s">
        <v>40</v>
      </c>
      <c r="D33" s="7" t="s">
        <v>41</v>
      </c>
      <c r="E33" s="6" t="s">
        <v>63</v>
      </c>
      <c r="F33" s="6" t="s">
        <v>43</v>
      </c>
      <c r="G33" s="6" t="s">
        <v>65</v>
      </c>
      <c r="I33" s="6" t="s">
        <v>45</v>
      </c>
      <c r="J33" s="6" t="s">
        <v>7</v>
      </c>
      <c r="N33" s="6" t="s">
        <v>46</v>
      </c>
      <c r="O33" s="6" t="s">
        <v>56</v>
      </c>
      <c r="P33" s="8" t="s">
        <v>259</v>
      </c>
      <c r="Q33" s="8" t="s">
        <v>260</v>
      </c>
      <c r="R33" s="8" t="s">
        <v>261</v>
      </c>
      <c r="S33" s="8" t="s">
        <v>261</v>
      </c>
      <c r="W33" s="9">
        <f t="shared" si="1"/>
        <v>0.6997569444</v>
      </c>
      <c r="Y33" s="2" t="str">
        <f t="shared" si="2"/>
        <v>Simple</v>
      </c>
      <c r="Z33" s="2" t="str">
        <f t="shared" si="3"/>
        <v>Simple</v>
      </c>
      <c r="AI33" s="8" t="s">
        <v>150</v>
      </c>
      <c r="AK33" s="8" t="s">
        <v>150</v>
      </c>
      <c r="AL33" s="6">
        <v>2.0</v>
      </c>
    </row>
    <row r="34" ht="14.25" customHeight="1">
      <c r="A34" s="6" t="s">
        <v>262</v>
      </c>
      <c r="B34" s="6" t="s">
        <v>263</v>
      </c>
      <c r="C34" s="7" t="s">
        <v>40</v>
      </c>
      <c r="D34" s="7" t="s">
        <v>41</v>
      </c>
      <c r="E34" s="6" t="s">
        <v>42</v>
      </c>
      <c r="F34" s="6" t="s">
        <v>43</v>
      </c>
      <c r="G34" s="6" t="s">
        <v>264</v>
      </c>
      <c r="I34" s="6" t="s">
        <v>45</v>
      </c>
      <c r="J34" s="6" t="s">
        <v>7</v>
      </c>
      <c r="N34" s="6" t="s">
        <v>46</v>
      </c>
      <c r="O34" s="6" t="s">
        <v>56</v>
      </c>
      <c r="P34" s="8" t="s">
        <v>265</v>
      </c>
      <c r="Q34" s="8" t="s">
        <v>266</v>
      </c>
      <c r="R34" s="8" t="s">
        <v>267</v>
      </c>
      <c r="S34" s="8" t="s">
        <v>267</v>
      </c>
      <c r="W34" s="9">
        <f t="shared" si="1"/>
        <v>0.04429398148</v>
      </c>
      <c r="Y34" s="2" t="str">
        <f t="shared" si="2"/>
        <v>Simple</v>
      </c>
      <c r="Z34" s="2" t="str">
        <f t="shared" si="3"/>
        <v>Simple</v>
      </c>
      <c r="AI34" s="8" t="s">
        <v>268</v>
      </c>
      <c r="AK34" s="8" t="s">
        <v>268</v>
      </c>
      <c r="AL34" s="6">
        <v>5.0</v>
      </c>
    </row>
    <row r="35" ht="14.25" customHeight="1">
      <c r="A35" s="6" t="s">
        <v>269</v>
      </c>
      <c r="B35" s="6" t="s">
        <v>270</v>
      </c>
      <c r="C35" s="7" t="s">
        <v>40</v>
      </c>
      <c r="D35" s="7" t="s">
        <v>41</v>
      </c>
      <c r="E35" s="6" t="s">
        <v>90</v>
      </c>
      <c r="F35" s="6" t="s">
        <v>43</v>
      </c>
      <c r="G35" s="6" t="s">
        <v>271</v>
      </c>
      <c r="I35" s="6" t="s">
        <v>45</v>
      </c>
      <c r="J35" s="6" t="s">
        <v>7</v>
      </c>
      <c r="N35" s="6" t="s">
        <v>46</v>
      </c>
      <c r="O35" s="6" t="s">
        <v>47</v>
      </c>
      <c r="P35" s="8" t="s">
        <v>272</v>
      </c>
      <c r="Q35" s="8" t="s">
        <v>266</v>
      </c>
      <c r="R35" s="8" t="s">
        <v>273</v>
      </c>
      <c r="S35" s="8" t="s">
        <v>273</v>
      </c>
      <c r="W35" s="9">
        <f t="shared" si="1"/>
        <v>0.05930555556</v>
      </c>
      <c r="Y35" s="2" t="str">
        <f t="shared" si="2"/>
        <v>Simple</v>
      </c>
      <c r="Z35" s="2" t="str">
        <f t="shared" si="3"/>
        <v>Simple</v>
      </c>
      <c r="AI35" s="8" t="s">
        <v>274</v>
      </c>
      <c r="AK35" s="8" t="s">
        <v>274</v>
      </c>
      <c r="AL35" s="6">
        <v>3.0</v>
      </c>
    </row>
    <row r="36" ht="14.25" customHeight="1">
      <c r="A36" s="6" t="s">
        <v>275</v>
      </c>
      <c r="B36" s="6" t="s">
        <v>276</v>
      </c>
      <c r="C36" s="7" t="s">
        <v>40</v>
      </c>
      <c r="D36" s="7" t="s">
        <v>41</v>
      </c>
      <c r="E36" s="6" t="s">
        <v>277</v>
      </c>
      <c r="F36" s="6" t="s">
        <v>43</v>
      </c>
      <c r="G36" s="6" t="s">
        <v>278</v>
      </c>
      <c r="I36" s="6" t="s">
        <v>45</v>
      </c>
      <c r="J36" s="6" t="s">
        <v>7</v>
      </c>
      <c r="N36" s="6" t="s">
        <v>46</v>
      </c>
      <c r="O36" s="6" t="s">
        <v>135</v>
      </c>
      <c r="P36" s="8" t="s">
        <v>279</v>
      </c>
      <c r="Q36" s="8" t="s">
        <v>280</v>
      </c>
      <c r="R36" s="8" t="s">
        <v>273</v>
      </c>
      <c r="S36" s="8" t="s">
        <v>273</v>
      </c>
      <c r="W36" s="9">
        <f t="shared" si="1"/>
        <v>0.0596412037</v>
      </c>
      <c r="Y36" s="2" t="str">
        <f t="shared" si="2"/>
        <v>Simple</v>
      </c>
      <c r="Z36" s="2" t="str">
        <f t="shared" si="3"/>
        <v>Simple</v>
      </c>
      <c r="AI36" s="8" t="s">
        <v>158</v>
      </c>
      <c r="AK36" s="8" t="s">
        <v>158</v>
      </c>
      <c r="AL36" s="6">
        <v>2.0</v>
      </c>
    </row>
    <row r="37" ht="14.25" customHeight="1">
      <c r="A37" s="6" t="s">
        <v>281</v>
      </c>
      <c r="B37" s="6" t="s">
        <v>282</v>
      </c>
      <c r="C37" s="7" t="s">
        <v>40</v>
      </c>
      <c r="D37" s="7" t="s">
        <v>41</v>
      </c>
      <c r="E37" s="6" t="s">
        <v>141</v>
      </c>
      <c r="F37" s="6" t="s">
        <v>43</v>
      </c>
      <c r="G37" s="6" t="s">
        <v>142</v>
      </c>
      <c r="I37" s="6" t="s">
        <v>45</v>
      </c>
      <c r="J37" s="6" t="s">
        <v>7</v>
      </c>
      <c r="N37" s="6" t="s">
        <v>46</v>
      </c>
      <c r="O37" s="6" t="s">
        <v>47</v>
      </c>
      <c r="P37" s="8" t="s">
        <v>283</v>
      </c>
      <c r="Q37" s="8" t="s">
        <v>284</v>
      </c>
      <c r="R37" s="8" t="s">
        <v>285</v>
      </c>
      <c r="S37" s="8" t="s">
        <v>285</v>
      </c>
      <c r="W37" s="9">
        <f t="shared" si="1"/>
        <v>0.2189467593</v>
      </c>
      <c r="Y37" s="2" t="str">
        <f t="shared" si="2"/>
        <v>Simple</v>
      </c>
      <c r="Z37" s="2" t="str">
        <f t="shared" si="3"/>
        <v>Simple</v>
      </c>
      <c r="AI37" s="8" t="s">
        <v>165</v>
      </c>
      <c r="AK37" s="8" t="s">
        <v>165</v>
      </c>
      <c r="AL37" s="6">
        <v>3.0</v>
      </c>
    </row>
    <row r="38" ht="14.25" customHeight="1">
      <c r="A38" s="6" t="s">
        <v>286</v>
      </c>
      <c r="B38" s="6" t="s">
        <v>287</v>
      </c>
      <c r="C38" s="7" t="s">
        <v>40</v>
      </c>
      <c r="D38" s="7" t="s">
        <v>41</v>
      </c>
      <c r="E38" s="6" t="s">
        <v>288</v>
      </c>
      <c r="F38" s="6" t="s">
        <v>43</v>
      </c>
      <c r="G38" s="6" t="s">
        <v>74</v>
      </c>
      <c r="I38" s="6" t="s">
        <v>45</v>
      </c>
      <c r="J38" s="6" t="s">
        <v>7</v>
      </c>
      <c r="N38" s="6" t="s">
        <v>46</v>
      </c>
      <c r="O38" s="6" t="s">
        <v>135</v>
      </c>
      <c r="P38" s="8" t="s">
        <v>289</v>
      </c>
      <c r="Q38" s="8" t="s">
        <v>290</v>
      </c>
      <c r="R38" s="8" t="s">
        <v>291</v>
      </c>
      <c r="S38" s="8" t="s">
        <v>291</v>
      </c>
      <c r="W38" s="9">
        <f t="shared" si="1"/>
        <v>0.04559027778</v>
      </c>
      <c r="Y38" s="2" t="str">
        <f t="shared" si="2"/>
        <v>Simple</v>
      </c>
      <c r="Z38" s="2" t="str">
        <f t="shared" si="3"/>
        <v>Simple</v>
      </c>
      <c r="AI38" s="8" t="s">
        <v>292</v>
      </c>
      <c r="AK38" s="8" t="s">
        <v>292</v>
      </c>
      <c r="AL38" s="6">
        <v>2.0</v>
      </c>
    </row>
    <row r="39" ht="14.25" customHeight="1">
      <c r="A39" s="6" t="s">
        <v>293</v>
      </c>
      <c r="B39" s="6" t="s">
        <v>294</v>
      </c>
      <c r="C39" s="7" t="s">
        <v>40</v>
      </c>
      <c r="D39" s="7" t="s">
        <v>41</v>
      </c>
      <c r="E39" s="6" t="s">
        <v>90</v>
      </c>
      <c r="F39" s="6" t="s">
        <v>43</v>
      </c>
      <c r="G39" s="6" t="s">
        <v>64</v>
      </c>
      <c r="H39" s="6" t="s">
        <v>295</v>
      </c>
      <c r="I39" s="6" t="s">
        <v>45</v>
      </c>
      <c r="J39" s="6" t="s">
        <v>7</v>
      </c>
      <c r="N39" s="6" t="s">
        <v>46</v>
      </c>
      <c r="O39" s="6" t="s">
        <v>47</v>
      </c>
      <c r="P39" s="8" t="s">
        <v>296</v>
      </c>
      <c r="Q39" s="8" t="s">
        <v>297</v>
      </c>
      <c r="R39" s="8" t="s">
        <v>298</v>
      </c>
      <c r="S39" s="8" t="s">
        <v>298</v>
      </c>
      <c r="W39" s="9">
        <f t="shared" si="1"/>
        <v>4.956388889</v>
      </c>
      <c r="Y39" s="2" t="str">
        <f t="shared" si="2"/>
        <v>Complex</v>
      </c>
      <c r="Z39" s="2" t="str">
        <f t="shared" si="3"/>
        <v>Complex</v>
      </c>
      <c r="AI39" s="8" t="s">
        <v>172</v>
      </c>
      <c r="AK39" s="8" t="s">
        <v>172</v>
      </c>
      <c r="AL39" s="6">
        <v>2.0</v>
      </c>
    </row>
    <row r="40" ht="14.25" customHeight="1">
      <c r="A40" s="6" t="s">
        <v>299</v>
      </c>
      <c r="B40" s="6" t="s">
        <v>53</v>
      </c>
      <c r="C40" s="7" t="s">
        <v>40</v>
      </c>
      <c r="D40" s="7" t="s">
        <v>41</v>
      </c>
      <c r="E40" s="6" t="s">
        <v>90</v>
      </c>
      <c r="F40" s="6" t="s">
        <v>43</v>
      </c>
      <c r="G40" s="6" t="s">
        <v>92</v>
      </c>
      <c r="I40" s="6" t="s">
        <v>45</v>
      </c>
      <c r="J40" s="6" t="s">
        <v>7</v>
      </c>
      <c r="N40" s="6" t="s">
        <v>46</v>
      </c>
      <c r="O40" s="6" t="s">
        <v>149</v>
      </c>
      <c r="P40" s="8" t="s">
        <v>300</v>
      </c>
      <c r="Q40" s="8" t="s">
        <v>301</v>
      </c>
      <c r="R40" s="8" t="s">
        <v>302</v>
      </c>
      <c r="S40" s="8" t="s">
        <v>302</v>
      </c>
      <c r="W40" s="9">
        <f t="shared" si="1"/>
        <v>0.1394212963</v>
      </c>
      <c r="Y40" s="2" t="str">
        <f t="shared" si="2"/>
        <v>Simple</v>
      </c>
      <c r="Z40" s="2" t="str">
        <f t="shared" si="3"/>
        <v>Simple</v>
      </c>
      <c r="AI40" s="8" t="s">
        <v>179</v>
      </c>
      <c r="AK40" s="8" t="s">
        <v>179</v>
      </c>
      <c r="AL40" s="6">
        <v>3.0</v>
      </c>
    </row>
    <row r="41" ht="14.25" customHeight="1">
      <c r="A41" s="6" t="s">
        <v>303</v>
      </c>
      <c r="B41" s="6" t="s">
        <v>304</v>
      </c>
      <c r="C41" s="7" t="s">
        <v>40</v>
      </c>
      <c r="D41" s="7" t="s">
        <v>41</v>
      </c>
      <c r="E41" s="6" t="s">
        <v>141</v>
      </c>
      <c r="F41" s="6" t="s">
        <v>43</v>
      </c>
      <c r="G41" s="6" t="s">
        <v>142</v>
      </c>
      <c r="I41" s="6" t="s">
        <v>45</v>
      </c>
      <c r="J41" s="6" t="s">
        <v>7</v>
      </c>
      <c r="N41" s="6" t="s">
        <v>46</v>
      </c>
      <c r="O41" s="6" t="s">
        <v>135</v>
      </c>
      <c r="P41" s="8" t="s">
        <v>305</v>
      </c>
      <c r="Q41" s="8" t="s">
        <v>306</v>
      </c>
      <c r="R41" s="8" t="s">
        <v>307</v>
      </c>
      <c r="S41" s="8" t="s">
        <v>307</v>
      </c>
      <c r="W41" s="9">
        <f t="shared" si="1"/>
        <v>0.07424768518</v>
      </c>
      <c r="Y41" s="2" t="str">
        <f t="shared" si="2"/>
        <v>Simple</v>
      </c>
      <c r="Z41" s="2" t="str">
        <f t="shared" si="3"/>
        <v>Simple</v>
      </c>
      <c r="AI41" s="8" t="s">
        <v>187</v>
      </c>
      <c r="AK41" s="8" t="s">
        <v>187</v>
      </c>
      <c r="AL41" s="6">
        <v>2.0</v>
      </c>
    </row>
    <row r="42" ht="14.25" customHeight="1">
      <c r="A42" s="6" t="s">
        <v>308</v>
      </c>
      <c r="B42" s="6" t="s">
        <v>309</v>
      </c>
      <c r="C42" s="7" t="s">
        <v>40</v>
      </c>
      <c r="D42" s="7" t="s">
        <v>41</v>
      </c>
      <c r="E42" s="6" t="s">
        <v>54</v>
      </c>
      <c r="F42" s="6" t="s">
        <v>43</v>
      </c>
      <c r="G42" s="6" t="s">
        <v>310</v>
      </c>
      <c r="I42" s="6" t="s">
        <v>45</v>
      </c>
      <c r="J42" s="6" t="s">
        <v>7</v>
      </c>
      <c r="N42" s="6" t="s">
        <v>46</v>
      </c>
      <c r="O42" s="6" t="s">
        <v>83</v>
      </c>
      <c r="P42" s="8" t="s">
        <v>311</v>
      </c>
      <c r="Q42" s="8" t="s">
        <v>312</v>
      </c>
      <c r="R42" s="8" t="s">
        <v>313</v>
      </c>
      <c r="S42" s="8" t="s">
        <v>313</v>
      </c>
      <c r="W42" s="9">
        <f t="shared" si="1"/>
        <v>0.05559027778</v>
      </c>
      <c r="Y42" s="2" t="str">
        <f t="shared" si="2"/>
        <v>Simple</v>
      </c>
      <c r="Z42" s="2" t="str">
        <f t="shared" si="3"/>
        <v>Simple</v>
      </c>
      <c r="AI42" s="8" t="s">
        <v>192</v>
      </c>
      <c r="AK42" s="8" t="s">
        <v>192</v>
      </c>
      <c r="AL42" s="6">
        <v>2.0</v>
      </c>
    </row>
    <row r="43" ht="14.25" customHeight="1">
      <c r="A43" s="6" t="s">
        <v>314</v>
      </c>
      <c r="B43" s="6" t="s">
        <v>315</v>
      </c>
      <c r="C43" s="7" t="s">
        <v>40</v>
      </c>
      <c r="D43" s="7" t="s">
        <v>41</v>
      </c>
      <c r="E43" s="6" t="s">
        <v>316</v>
      </c>
      <c r="F43" s="6" t="s">
        <v>43</v>
      </c>
      <c r="G43" s="6" t="s">
        <v>317</v>
      </c>
      <c r="I43" s="6" t="s">
        <v>45</v>
      </c>
      <c r="J43" s="6" t="s">
        <v>7</v>
      </c>
      <c r="N43" s="6" t="s">
        <v>46</v>
      </c>
      <c r="O43" s="6" t="s">
        <v>318</v>
      </c>
      <c r="P43" s="8" t="s">
        <v>319</v>
      </c>
      <c r="Q43" s="8" t="s">
        <v>320</v>
      </c>
      <c r="R43" s="8" t="s">
        <v>321</v>
      </c>
      <c r="S43" s="8" t="s">
        <v>322</v>
      </c>
      <c r="W43" s="9">
        <f t="shared" si="1"/>
        <v>0.139537037</v>
      </c>
      <c r="Y43" s="2" t="str">
        <f t="shared" si="2"/>
        <v>Simple</v>
      </c>
      <c r="Z43" s="2" t="str">
        <f t="shared" si="3"/>
        <v>Simple</v>
      </c>
      <c r="AI43" s="8" t="s">
        <v>323</v>
      </c>
      <c r="AK43" s="8" t="s">
        <v>323</v>
      </c>
      <c r="AL43" s="6">
        <v>2.0</v>
      </c>
    </row>
    <row r="44" ht="14.25" customHeight="1">
      <c r="A44" s="6" t="s">
        <v>324</v>
      </c>
      <c r="B44" s="6" t="s">
        <v>325</v>
      </c>
      <c r="C44" s="7" t="s">
        <v>40</v>
      </c>
      <c r="D44" s="7" t="s">
        <v>41</v>
      </c>
      <c r="E44" s="6" t="s">
        <v>316</v>
      </c>
      <c r="F44" s="6" t="s">
        <v>43</v>
      </c>
      <c r="G44" s="6" t="s">
        <v>317</v>
      </c>
      <c r="I44" s="6" t="s">
        <v>45</v>
      </c>
      <c r="J44" s="6" t="s">
        <v>7</v>
      </c>
      <c r="N44" s="6" t="s">
        <v>326</v>
      </c>
      <c r="O44" s="6" t="s">
        <v>318</v>
      </c>
      <c r="P44" s="8" t="s">
        <v>175</v>
      </c>
      <c r="Q44" s="8" t="s">
        <v>327</v>
      </c>
      <c r="R44" s="8" t="s">
        <v>328</v>
      </c>
      <c r="S44" s="8" t="s">
        <v>328</v>
      </c>
      <c r="W44" s="11">
        <f t="shared" si="1"/>
        <v>0.004259259258</v>
      </c>
      <c r="X44" s="10">
        <f>COUNT(W44:W50)</f>
        <v>7</v>
      </c>
      <c r="Y44" s="12" t="str">
        <f t="shared" si="2"/>
        <v>Simple</v>
      </c>
      <c r="Z44" s="13" t="str">
        <f t="shared" si="3"/>
        <v>Simple</v>
      </c>
      <c r="AI44" s="8" t="s">
        <v>329</v>
      </c>
      <c r="AK44" s="8" t="s">
        <v>329</v>
      </c>
      <c r="AL44" s="6">
        <v>2.0</v>
      </c>
    </row>
    <row r="45" ht="14.25" customHeight="1">
      <c r="A45" s="6" t="s">
        <v>330</v>
      </c>
      <c r="B45" s="6" t="s">
        <v>331</v>
      </c>
      <c r="C45" s="7" t="s">
        <v>40</v>
      </c>
      <c r="D45" s="7" t="s">
        <v>41</v>
      </c>
      <c r="E45" s="6" t="s">
        <v>54</v>
      </c>
      <c r="F45" s="6" t="s">
        <v>43</v>
      </c>
      <c r="G45" s="6" t="s">
        <v>310</v>
      </c>
      <c r="I45" s="6" t="s">
        <v>45</v>
      </c>
      <c r="J45" s="6" t="s">
        <v>7</v>
      </c>
      <c r="N45" s="6" t="s">
        <v>326</v>
      </c>
      <c r="O45" s="6" t="s">
        <v>83</v>
      </c>
      <c r="P45" s="8" t="s">
        <v>332</v>
      </c>
      <c r="Q45" s="8" t="s">
        <v>333</v>
      </c>
      <c r="R45" s="8" t="s">
        <v>334</v>
      </c>
      <c r="S45" s="8" t="s">
        <v>334</v>
      </c>
      <c r="W45" s="11">
        <f t="shared" si="1"/>
        <v>0.9202083333</v>
      </c>
      <c r="Y45" s="14" t="str">
        <f t="shared" si="2"/>
        <v>Simple</v>
      </c>
      <c r="Z45" s="15" t="str">
        <f t="shared" si="3"/>
        <v>Simple</v>
      </c>
      <c r="AI45" s="8" t="s">
        <v>204</v>
      </c>
      <c r="AK45" s="8" t="s">
        <v>204</v>
      </c>
      <c r="AL45" s="6">
        <v>2.0</v>
      </c>
    </row>
    <row r="46" ht="14.25" customHeight="1">
      <c r="A46" s="6" t="s">
        <v>335</v>
      </c>
      <c r="B46" s="6" t="s">
        <v>336</v>
      </c>
      <c r="C46" s="7" t="s">
        <v>40</v>
      </c>
      <c r="D46" s="7" t="s">
        <v>41</v>
      </c>
      <c r="E46" s="6" t="s">
        <v>231</v>
      </c>
      <c r="F46" s="6" t="s">
        <v>64</v>
      </c>
      <c r="G46" s="6" t="s">
        <v>210</v>
      </c>
      <c r="I46" s="6" t="s">
        <v>45</v>
      </c>
      <c r="J46" s="6" t="s">
        <v>7</v>
      </c>
      <c r="N46" s="6" t="s">
        <v>326</v>
      </c>
      <c r="O46" s="6" t="s">
        <v>47</v>
      </c>
      <c r="P46" s="8" t="s">
        <v>337</v>
      </c>
      <c r="Q46" s="8" t="s">
        <v>338</v>
      </c>
      <c r="R46" s="8" t="s">
        <v>338</v>
      </c>
      <c r="S46" s="8" t="s">
        <v>338</v>
      </c>
      <c r="W46" s="11">
        <f t="shared" si="1"/>
        <v>0.05799768519</v>
      </c>
      <c r="Y46" s="14" t="str">
        <f t="shared" si="2"/>
        <v>Simple</v>
      </c>
      <c r="Z46" s="15" t="str">
        <f t="shared" si="3"/>
        <v>Simple</v>
      </c>
      <c r="AI46" s="8" t="s">
        <v>339</v>
      </c>
      <c r="AK46" s="8" t="s">
        <v>339</v>
      </c>
      <c r="AL46" s="6">
        <v>5.0</v>
      </c>
    </row>
    <row r="47" ht="14.25" customHeight="1">
      <c r="A47" s="6" t="s">
        <v>340</v>
      </c>
      <c r="B47" s="6" t="s">
        <v>341</v>
      </c>
      <c r="C47" s="7" t="s">
        <v>40</v>
      </c>
      <c r="D47" s="7" t="s">
        <v>41</v>
      </c>
      <c r="E47" s="6" t="s">
        <v>231</v>
      </c>
      <c r="F47" s="6" t="s">
        <v>64</v>
      </c>
      <c r="G47" s="6" t="s">
        <v>342</v>
      </c>
      <c r="I47" s="6" t="s">
        <v>45</v>
      </c>
      <c r="J47" s="6" t="s">
        <v>7</v>
      </c>
      <c r="K47" s="6" t="s">
        <v>246</v>
      </c>
      <c r="N47" s="6" t="s">
        <v>326</v>
      </c>
      <c r="O47" s="6" t="s">
        <v>66</v>
      </c>
      <c r="P47" s="8" t="s">
        <v>343</v>
      </c>
      <c r="Q47" s="8" t="s">
        <v>344</v>
      </c>
      <c r="R47" s="8" t="s">
        <v>345</v>
      </c>
      <c r="S47" s="8" t="s">
        <v>345</v>
      </c>
      <c r="W47" s="11">
        <f t="shared" si="1"/>
        <v>1.028981481</v>
      </c>
      <c r="Y47" s="14" t="str">
        <f t="shared" si="2"/>
        <v>Simple</v>
      </c>
      <c r="Z47" s="15" t="str">
        <f t="shared" si="3"/>
        <v>Simple</v>
      </c>
      <c r="AI47" s="8" t="s">
        <v>346</v>
      </c>
      <c r="AK47" s="8" t="s">
        <v>346</v>
      </c>
      <c r="AL47" s="6">
        <v>1.0</v>
      </c>
    </row>
    <row r="48" ht="14.25" customHeight="1">
      <c r="A48" s="6" t="s">
        <v>347</v>
      </c>
      <c r="B48" s="6" t="s">
        <v>348</v>
      </c>
      <c r="C48" s="7" t="s">
        <v>40</v>
      </c>
      <c r="D48" s="7" t="s">
        <v>41</v>
      </c>
      <c r="E48" s="6" t="s">
        <v>54</v>
      </c>
      <c r="F48" s="6" t="s">
        <v>43</v>
      </c>
      <c r="G48" s="6" t="s">
        <v>349</v>
      </c>
      <c r="I48" s="6" t="s">
        <v>45</v>
      </c>
      <c r="J48" s="6" t="s">
        <v>7</v>
      </c>
      <c r="N48" s="6" t="s">
        <v>326</v>
      </c>
      <c r="O48" s="6" t="s">
        <v>47</v>
      </c>
      <c r="P48" s="8" t="s">
        <v>350</v>
      </c>
      <c r="Q48" s="8" t="s">
        <v>351</v>
      </c>
      <c r="R48" s="8" t="s">
        <v>351</v>
      </c>
      <c r="S48" s="8" t="s">
        <v>351</v>
      </c>
      <c r="W48" s="11">
        <f t="shared" si="1"/>
        <v>1.339548611</v>
      </c>
      <c r="Y48" s="14" t="str">
        <f t="shared" si="2"/>
        <v>Simple</v>
      </c>
      <c r="Z48" s="15" t="str">
        <f t="shared" si="3"/>
        <v>Simple</v>
      </c>
      <c r="AI48" s="8" t="s">
        <v>211</v>
      </c>
      <c r="AK48" s="8" t="s">
        <v>211</v>
      </c>
      <c r="AL48" s="6">
        <v>3.0</v>
      </c>
    </row>
    <row r="49" ht="14.25" customHeight="1">
      <c r="A49" s="6" t="s">
        <v>352</v>
      </c>
      <c r="B49" s="6" t="s">
        <v>318</v>
      </c>
      <c r="C49" s="7" t="s">
        <v>40</v>
      </c>
      <c r="D49" s="7" t="s">
        <v>41</v>
      </c>
      <c r="E49" s="6" t="s">
        <v>54</v>
      </c>
      <c r="F49" s="6" t="s">
        <v>43</v>
      </c>
      <c r="G49" s="6" t="s">
        <v>349</v>
      </c>
      <c r="I49" s="6" t="s">
        <v>45</v>
      </c>
      <c r="J49" s="6" t="s">
        <v>7</v>
      </c>
      <c r="N49" s="6" t="s">
        <v>326</v>
      </c>
      <c r="O49" s="6" t="s">
        <v>318</v>
      </c>
      <c r="P49" s="8" t="s">
        <v>353</v>
      </c>
      <c r="Q49" s="8" t="s">
        <v>354</v>
      </c>
      <c r="R49" s="8" t="s">
        <v>355</v>
      </c>
      <c r="S49" s="8" t="s">
        <v>355</v>
      </c>
      <c r="W49" s="11">
        <f t="shared" si="1"/>
        <v>3.924548611</v>
      </c>
      <c r="Y49" s="14" t="str">
        <f t="shared" si="2"/>
        <v>Complex</v>
      </c>
      <c r="Z49" s="15" t="str">
        <f t="shared" si="3"/>
        <v>Complex</v>
      </c>
      <c r="AI49" s="8" t="s">
        <v>217</v>
      </c>
      <c r="AK49" s="8" t="s">
        <v>217</v>
      </c>
      <c r="AL49" s="6">
        <v>2.0</v>
      </c>
    </row>
    <row r="50" ht="14.25" customHeight="1">
      <c r="A50" s="6" t="s">
        <v>356</v>
      </c>
      <c r="B50" s="6" t="s">
        <v>357</v>
      </c>
      <c r="C50" s="7" t="s">
        <v>40</v>
      </c>
      <c r="D50" s="7" t="s">
        <v>41</v>
      </c>
      <c r="E50" s="6" t="s">
        <v>358</v>
      </c>
      <c r="F50" s="6" t="s">
        <v>224</v>
      </c>
      <c r="G50" s="6" t="s">
        <v>359</v>
      </c>
      <c r="I50" s="6" t="s">
        <v>45</v>
      </c>
      <c r="J50" s="6" t="s">
        <v>7</v>
      </c>
      <c r="N50" s="6" t="s">
        <v>326</v>
      </c>
      <c r="O50" s="6" t="s">
        <v>66</v>
      </c>
      <c r="P50" s="8" t="s">
        <v>360</v>
      </c>
      <c r="Q50" s="8" t="s">
        <v>361</v>
      </c>
      <c r="R50" s="8" t="s">
        <v>362</v>
      </c>
      <c r="S50" s="8" t="s">
        <v>362</v>
      </c>
      <c r="W50" s="11">
        <f t="shared" si="1"/>
        <v>3.095949074</v>
      </c>
      <c r="Y50" s="16" t="str">
        <f t="shared" si="2"/>
        <v>Complex</v>
      </c>
      <c r="Z50" s="17" t="str">
        <f t="shared" si="3"/>
        <v>Complex</v>
      </c>
      <c r="AI50" s="8" t="s">
        <v>363</v>
      </c>
      <c r="AK50" s="8" t="s">
        <v>363</v>
      </c>
      <c r="AL50" s="6">
        <v>1.0</v>
      </c>
    </row>
    <row r="51" ht="14.25" customHeight="1">
      <c r="A51" s="6" t="s">
        <v>364</v>
      </c>
      <c r="B51" s="6" t="s">
        <v>365</v>
      </c>
      <c r="C51" s="7" t="s">
        <v>40</v>
      </c>
      <c r="D51" s="7" t="s">
        <v>41</v>
      </c>
      <c r="E51" s="6" t="s">
        <v>141</v>
      </c>
      <c r="F51" s="6" t="s">
        <v>43</v>
      </c>
      <c r="G51" s="6" t="s">
        <v>366</v>
      </c>
      <c r="I51" s="6" t="s">
        <v>45</v>
      </c>
      <c r="J51" s="6" t="s">
        <v>7</v>
      </c>
      <c r="N51" s="6" t="s">
        <v>367</v>
      </c>
      <c r="O51" s="6" t="s">
        <v>66</v>
      </c>
      <c r="P51" s="8" t="s">
        <v>368</v>
      </c>
      <c r="Q51" s="8" t="s">
        <v>369</v>
      </c>
      <c r="R51" s="8" t="s">
        <v>370</v>
      </c>
      <c r="S51" s="8" t="s">
        <v>371</v>
      </c>
      <c r="U51" s="6">
        <v>1202.0</v>
      </c>
      <c r="V51" s="6">
        <v>-722.0</v>
      </c>
      <c r="W51" s="18">
        <f t="shared" si="1"/>
        <v>2.084872685</v>
      </c>
      <c r="X51" s="10">
        <f>count(W51:W103)</f>
        <v>53</v>
      </c>
      <c r="Y51" s="2" t="str">
        <f t="shared" si="2"/>
        <v>Simple</v>
      </c>
      <c r="Z51" s="2" t="str">
        <f t="shared" si="3"/>
        <v>Simple</v>
      </c>
      <c r="AI51" s="8" t="s">
        <v>372</v>
      </c>
      <c r="AK51" s="8" t="s">
        <v>372</v>
      </c>
      <c r="AL51" s="6">
        <v>4.0</v>
      </c>
    </row>
    <row r="52" ht="14.25" customHeight="1">
      <c r="A52" s="6" t="s">
        <v>373</v>
      </c>
      <c r="B52" s="6" t="s">
        <v>374</v>
      </c>
      <c r="C52" s="7" t="s">
        <v>40</v>
      </c>
      <c r="D52" s="7" t="s">
        <v>41</v>
      </c>
      <c r="E52" s="6" t="s">
        <v>155</v>
      </c>
      <c r="F52" s="6" t="s">
        <v>43</v>
      </c>
      <c r="G52" s="6" t="s">
        <v>375</v>
      </c>
      <c r="I52" s="6" t="s">
        <v>45</v>
      </c>
      <c r="J52" s="6" t="s">
        <v>7</v>
      </c>
      <c r="N52" s="6" t="s">
        <v>367</v>
      </c>
      <c r="O52" s="6" t="s">
        <v>149</v>
      </c>
      <c r="P52" s="8" t="s">
        <v>60</v>
      </c>
      <c r="Q52" s="8" t="s">
        <v>376</v>
      </c>
      <c r="R52" s="8" t="s">
        <v>377</v>
      </c>
      <c r="S52" s="8" t="s">
        <v>377</v>
      </c>
      <c r="W52" s="18">
        <f t="shared" si="1"/>
        <v>0.9454976852</v>
      </c>
      <c r="Y52" s="2" t="str">
        <f t="shared" si="2"/>
        <v>Simple</v>
      </c>
      <c r="Z52" s="2" t="str">
        <f t="shared" si="3"/>
        <v>Simple</v>
      </c>
      <c r="AI52" s="8" t="s">
        <v>378</v>
      </c>
      <c r="AK52" s="8" t="s">
        <v>378</v>
      </c>
      <c r="AL52" s="6">
        <v>1.0</v>
      </c>
    </row>
    <row r="53" ht="14.25" customHeight="1">
      <c r="A53" s="6" t="s">
        <v>379</v>
      </c>
      <c r="B53" s="6" t="s">
        <v>380</v>
      </c>
      <c r="C53" s="7" t="s">
        <v>40</v>
      </c>
      <c r="D53" s="7" t="s">
        <v>41</v>
      </c>
      <c r="E53" s="6" t="s">
        <v>231</v>
      </c>
      <c r="F53" s="6" t="s">
        <v>64</v>
      </c>
      <c r="G53" s="6" t="s">
        <v>381</v>
      </c>
      <c r="I53" s="6" t="s">
        <v>45</v>
      </c>
      <c r="J53" s="6" t="s">
        <v>7</v>
      </c>
      <c r="N53" s="6" t="s">
        <v>367</v>
      </c>
      <c r="O53" s="6" t="s">
        <v>318</v>
      </c>
      <c r="P53" s="8" t="s">
        <v>382</v>
      </c>
      <c r="Q53" s="8" t="s">
        <v>383</v>
      </c>
      <c r="R53" s="8" t="s">
        <v>384</v>
      </c>
      <c r="S53" s="8" t="s">
        <v>384</v>
      </c>
      <c r="W53" s="18">
        <f t="shared" si="1"/>
        <v>0.03475694444</v>
      </c>
      <c r="Y53" s="2" t="str">
        <f t="shared" si="2"/>
        <v>Simple</v>
      </c>
      <c r="Z53" s="2" t="str">
        <f t="shared" si="3"/>
        <v>Simple</v>
      </c>
      <c r="AI53" s="8" t="s">
        <v>385</v>
      </c>
      <c r="AK53" s="8" t="s">
        <v>385</v>
      </c>
      <c r="AL53" s="6">
        <v>2.0</v>
      </c>
    </row>
    <row r="54" ht="14.25" customHeight="1">
      <c r="A54" s="6" t="s">
        <v>386</v>
      </c>
      <c r="B54" s="6" t="s">
        <v>387</v>
      </c>
      <c r="C54" s="7" t="s">
        <v>40</v>
      </c>
      <c r="D54" s="7" t="s">
        <v>41</v>
      </c>
      <c r="E54" s="6" t="s">
        <v>42</v>
      </c>
      <c r="F54" s="6" t="s">
        <v>43</v>
      </c>
      <c r="G54" s="6" t="s">
        <v>388</v>
      </c>
      <c r="I54" s="6" t="s">
        <v>45</v>
      </c>
      <c r="J54" s="6" t="s">
        <v>7</v>
      </c>
      <c r="N54" s="6" t="s">
        <v>367</v>
      </c>
      <c r="O54" s="6" t="s">
        <v>47</v>
      </c>
      <c r="P54" s="8" t="s">
        <v>78</v>
      </c>
      <c r="Q54" s="8" t="s">
        <v>389</v>
      </c>
      <c r="R54" s="8" t="s">
        <v>390</v>
      </c>
      <c r="S54" s="8" t="s">
        <v>390</v>
      </c>
      <c r="W54" s="18">
        <f t="shared" si="1"/>
        <v>0.1946643519</v>
      </c>
      <c r="Y54" s="2" t="str">
        <f t="shared" si="2"/>
        <v>Simple</v>
      </c>
      <c r="Z54" s="2" t="str">
        <f t="shared" si="3"/>
        <v>Simple</v>
      </c>
      <c r="AI54" s="8" t="s">
        <v>391</v>
      </c>
      <c r="AK54" s="8" t="s">
        <v>391</v>
      </c>
      <c r="AL54" s="6">
        <v>2.0</v>
      </c>
    </row>
    <row r="55" ht="14.25" customHeight="1">
      <c r="A55" s="6" t="s">
        <v>392</v>
      </c>
      <c r="B55" s="6" t="s">
        <v>393</v>
      </c>
      <c r="C55" s="7" t="s">
        <v>40</v>
      </c>
      <c r="D55" s="7" t="s">
        <v>41</v>
      </c>
      <c r="E55" s="6" t="s">
        <v>106</v>
      </c>
      <c r="F55" s="6" t="s">
        <v>43</v>
      </c>
      <c r="G55" s="6" t="s">
        <v>107</v>
      </c>
      <c r="I55" s="6" t="s">
        <v>45</v>
      </c>
      <c r="J55" s="6" t="s">
        <v>7</v>
      </c>
      <c r="N55" s="6" t="s">
        <v>367</v>
      </c>
      <c r="O55" s="6" t="s">
        <v>135</v>
      </c>
      <c r="P55" s="8" t="s">
        <v>87</v>
      </c>
      <c r="Q55" s="8" t="s">
        <v>394</v>
      </c>
      <c r="R55" s="8" t="s">
        <v>395</v>
      </c>
      <c r="S55" s="8" t="s">
        <v>395</v>
      </c>
      <c r="W55" s="18">
        <f t="shared" si="1"/>
        <v>5.128530093</v>
      </c>
      <c r="Y55" s="2" t="str">
        <f t="shared" si="2"/>
        <v>Complex</v>
      </c>
      <c r="Z55" s="2" t="str">
        <f t="shared" si="3"/>
        <v>Complex</v>
      </c>
      <c r="AI55" s="8" t="s">
        <v>396</v>
      </c>
      <c r="AK55" s="8" t="s">
        <v>396</v>
      </c>
      <c r="AL55" s="6">
        <v>3.0</v>
      </c>
    </row>
    <row r="56" ht="14.25" customHeight="1">
      <c r="A56" s="6" t="s">
        <v>397</v>
      </c>
      <c r="B56" s="6" t="s">
        <v>53</v>
      </c>
      <c r="C56" s="7" t="s">
        <v>40</v>
      </c>
      <c r="D56" s="7" t="s">
        <v>41</v>
      </c>
      <c r="E56" s="6" t="s">
        <v>106</v>
      </c>
      <c r="F56" s="6" t="s">
        <v>43</v>
      </c>
      <c r="G56" s="6" t="s">
        <v>107</v>
      </c>
      <c r="I56" s="6" t="s">
        <v>45</v>
      </c>
      <c r="J56" s="6" t="s">
        <v>7</v>
      </c>
      <c r="N56" s="6" t="s">
        <v>367</v>
      </c>
      <c r="O56" s="6" t="s">
        <v>47</v>
      </c>
      <c r="P56" s="8" t="s">
        <v>97</v>
      </c>
      <c r="Q56" s="8" t="s">
        <v>398</v>
      </c>
      <c r="R56" s="8" t="s">
        <v>399</v>
      </c>
      <c r="S56" s="8" t="s">
        <v>399</v>
      </c>
      <c r="W56" s="18">
        <f t="shared" si="1"/>
        <v>6.160138889</v>
      </c>
      <c r="Y56" s="2" t="str">
        <f t="shared" si="2"/>
        <v>Complex</v>
      </c>
      <c r="Z56" s="2" t="str">
        <f t="shared" si="3"/>
        <v>Complex</v>
      </c>
      <c r="AI56" s="8" t="s">
        <v>400</v>
      </c>
      <c r="AK56" s="8" t="s">
        <v>400</v>
      </c>
      <c r="AL56" s="6">
        <v>2.0</v>
      </c>
    </row>
    <row r="57" ht="14.25" customHeight="1">
      <c r="A57" s="6" t="s">
        <v>401</v>
      </c>
      <c r="B57" s="6" t="s">
        <v>402</v>
      </c>
      <c r="C57" s="7" t="s">
        <v>40</v>
      </c>
      <c r="D57" s="7" t="s">
        <v>41</v>
      </c>
      <c r="E57" s="6" t="s">
        <v>63</v>
      </c>
      <c r="F57" s="6" t="s">
        <v>43</v>
      </c>
      <c r="G57" s="6" t="s">
        <v>403</v>
      </c>
      <c r="I57" s="6" t="s">
        <v>45</v>
      </c>
      <c r="J57" s="6" t="s">
        <v>7</v>
      </c>
      <c r="N57" s="6" t="s">
        <v>367</v>
      </c>
      <c r="O57" s="6" t="s">
        <v>56</v>
      </c>
      <c r="P57" s="8" t="s">
        <v>103</v>
      </c>
      <c r="Q57" s="8" t="s">
        <v>404</v>
      </c>
      <c r="R57" s="8" t="s">
        <v>405</v>
      </c>
      <c r="S57" s="8" t="s">
        <v>405</v>
      </c>
      <c r="W57" s="18">
        <f t="shared" si="1"/>
        <v>0.7442013889</v>
      </c>
      <c r="Y57" s="2" t="str">
        <f t="shared" si="2"/>
        <v>Simple</v>
      </c>
      <c r="Z57" s="2" t="str">
        <f t="shared" si="3"/>
        <v>Simple</v>
      </c>
      <c r="AI57" s="8" t="s">
        <v>332</v>
      </c>
      <c r="AK57" s="8" t="s">
        <v>332</v>
      </c>
      <c r="AL57" s="6">
        <v>2.0</v>
      </c>
    </row>
    <row r="58" ht="14.25" customHeight="1">
      <c r="A58" s="6" t="s">
        <v>406</v>
      </c>
      <c r="B58" s="6" t="s">
        <v>407</v>
      </c>
      <c r="C58" s="7" t="s">
        <v>40</v>
      </c>
      <c r="D58" s="7" t="s">
        <v>41</v>
      </c>
      <c r="E58" s="6" t="s">
        <v>132</v>
      </c>
      <c r="F58" s="6" t="s">
        <v>43</v>
      </c>
      <c r="G58" s="6" t="s">
        <v>408</v>
      </c>
      <c r="I58" s="6" t="s">
        <v>45</v>
      </c>
      <c r="J58" s="6" t="s">
        <v>7</v>
      </c>
      <c r="N58" s="6" t="s">
        <v>367</v>
      </c>
      <c r="O58" s="6" t="s">
        <v>149</v>
      </c>
      <c r="P58" s="8" t="s">
        <v>409</v>
      </c>
      <c r="Q58" s="8" t="s">
        <v>410</v>
      </c>
      <c r="R58" s="8" t="s">
        <v>411</v>
      </c>
      <c r="S58" s="8" t="s">
        <v>411</v>
      </c>
      <c r="W58" s="18">
        <f t="shared" si="1"/>
        <v>0.1910532407</v>
      </c>
      <c r="Y58" s="2" t="str">
        <f t="shared" si="2"/>
        <v>Simple</v>
      </c>
      <c r="Z58" s="2" t="str">
        <f t="shared" si="3"/>
        <v>Simple</v>
      </c>
      <c r="AI58" s="8" t="s">
        <v>226</v>
      </c>
      <c r="AK58" s="8" t="s">
        <v>226</v>
      </c>
      <c r="AL58" s="6">
        <v>3.0</v>
      </c>
    </row>
    <row r="59" ht="14.25" customHeight="1">
      <c r="A59" s="6" t="s">
        <v>412</v>
      </c>
      <c r="B59" s="6" t="s">
        <v>413</v>
      </c>
      <c r="C59" s="7" t="s">
        <v>40</v>
      </c>
      <c r="D59" s="7" t="s">
        <v>41</v>
      </c>
      <c r="E59" s="6" t="s">
        <v>414</v>
      </c>
      <c r="F59" s="6" t="s">
        <v>43</v>
      </c>
      <c r="G59" s="6" t="s">
        <v>415</v>
      </c>
      <c r="I59" s="6" t="s">
        <v>45</v>
      </c>
      <c r="J59" s="6" t="s">
        <v>7</v>
      </c>
      <c r="N59" s="6" t="s">
        <v>367</v>
      </c>
      <c r="O59" s="6" t="s">
        <v>47</v>
      </c>
      <c r="P59" s="8" t="s">
        <v>117</v>
      </c>
      <c r="Q59" s="8" t="s">
        <v>416</v>
      </c>
      <c r="R59" s="8" t="s">
        <v>417</v>
      </c>
      <c r="S59" s="8" t="s">
        <v>417</v>
      </c>
      <c r="W59" s="18">
        <f t="shared" si="1"/>
        <v>0.2111226852</v>
      </c>
      <c r="Y59" s="2" t="str">
        <f t="shared" si="2"/>
        <v>Simple</v>
      </c>
      <c r="Z59" s="2" t="str">
        <f t="shared" si="3"/>
        <v>Simple</v>
      </c>
      <c r="AI59" s="8" t="s">
        <v>418</v>
      </c>
      <c r="AK59" s="8" t="s">
        <v>418</v>
      </c>
      <c r="AL59" s="6">
        <v>2.0</v>
      </c>
    </row>
    <row r="60" ht="14.25" customHeight="1">
      <c r="A60" s="6" t="s">
        <v>419</v>
      </c>
      <c r="B60" s="6" t="s">
        <v>420</v>
      </c>
      <c r="C60" s="7" t="s">
        <v>40</v>
      </c>
      <c r="D60" s="7" t="s">
        <v>41</v>
      </c>
      <c r="E60" s="6" t="s">
        <v>73</v>
      </c>
      <c r="F60" s="6" t="s">
        <v>156</v>
      </c>
      <c r="G60" s="6" t="s">
        <v>421</v>
      </c>
      <c r="I60" s="6" t="s">
        <v>45</v>
      </c>
      <c r="J60" s="6" t="s">
        <v>7</v>
      </c>
      <c r="N60" s="6" t="s">
        <v>367</v>
      </c>
      <c r="O60" s="6" t="s">
        <v>135</v>
      </c>
      <c r="P60" s="8" t="s">
        <v>422</v>
      </c>
      <c r="Q60" s="8" t="s">
        <v>423</v>
      </c>
      <c r="R60" s="8" t="s">
        <v>424</v>
      </c>
      <c r="S60" s="8" t="s">
        <v>424</v>
      </c>
      <c r="W60" s="18">
        <f t="shared" si="1"/>
        <v>0.1311458333</v>
      </c>
      <c r="Y60" s="2" t="str">
        <f t="shared" si="2"/>
        <v>Simple</v>
      </c>
      <c r="Z60" s="2" t="str">
        <f t="shared" si="3"/>
        <v>Simple</v>
      </c>
      <c r="AI60" s="8" t="s">
        <v>233</v>
      </c>
      <c r="AK60" s="8" t="s">
        <v>233</v>
      </c>
      <c r="AL60" s="6">
        <v>1.0</v>
      </c>
    </row>
    <row r="61" ht="14.25" customHeight="1">
      <c r="A61" s="6" t="s">
        <v>425</v>
      </c>
      <c r="B61" s="6" t="s">
        <v>426</v>
      </c>
      <c r="C61" s="7" t="s">
        <v>40</v>
      </c>
      <c r="D61" s="7" t="s">
        <v>41</v>
      </c>
      <c r="E61" s="6" t="s">
        <v>427</v>
      </c>
      <c r="F61" s="6" t="s">
        <v>43</v>
      </c>
      <c r="G61" s="6" t="s">
        <v>428</v>
      </c>
      <c r="I61" s="6" t="s">
        <v>45</v>
      </c>
      <c r="J61" s="6" t="s">
        <v>7</v>
      </c>
      <c r="N61" s="6" t="s">
        <v>367</v>
      </c>
      <c r="O61" s="6" t="s">
        <v>47</v>
      </c>
      <c r="P61" s="8" t="s">
        <v>429</v>
      </c>
      <c r="Q61" s="8" t="s">
        <v>430</v>
      </c>
      <c r="R61" s="8" t="s">
        <v>431</v>
      </c>
      <c r="S61" s="8" t="s">
        <v>431</v>
      </c>
      <c r="W61" s="18">
        <f t="shared" si="1"/>
        <v>0.1689467593</v>
      </c>
      <c r="Y61" s="2" t="str">
        <f t="shared" si="2"/>
        <v>Simple</v>
      </c>
      <c r="Z61" s="2" t="str">
        <f t="shared" si="3"/>
        <v>Simple</v>
      </c>
      <c r="AI61" s="8" t="s">
        <v>240</v>
      </c>
      <c r="AK61" s="8" t="s">
        <v>240</v>
      </c>
      <c r="AL61" s="6">
        <v>2.0</v>
      </c>
    </row>
    <row r="62" ht="14.25" customHeight="1">
      <c r="A62" s="6" t="s">
        <v>432</v>
      </c>
      <c r="B62" s="6" t="s">
        <v>433</v>
      </c>
      <c r="C62" s="7" t="s">
        <v>40</v>
      </c>
      <c r="D62" s="7" t="s">
        <v>41</v>
      </c>
      <c r="E62" s="6" t="s">
        <v>209</v>
      </c>
      <c r="F62" s="6" t="s">
        <v>64</v>
      </c>
      <c r="G62" s="6" t="s">
        <v>434</v>
      </c>
      <c r="I62" s="6" t="s">
        <v>45</v>
      </c>
      <c r="J62" s="6" t="s">
        <v>7</v>
      </c>
      <c r="N62" s="6" t="s">
        <v>367</v>
      </c>
      <c r="O62" s="6" t="s">
        <v>47</v>
      </c>
      <c r="P62" s="8" t="s">
        <v>435</v>
      </c>
      <c r="Q62" s="8" t="s">
        <v>436</v>
      </c>
      <c r="R62" s="8" t="s">
        <v>437</v>
      </c>
      <c r="S62" s="8" t="s">
        <v>437</v>
      </c>
      <c r="W62" s="18">
        <f t="shared" si="1"/>
        <v>0.1733449074</v>
      </c>
      <c r="Y62" s="2" t="str">
        <f t="shared" si="2"/>
        <v>Simple</v>
      </c>
      <c r="Z62" s="2" t="str">
        <f t="shared" si="3"/>
        <v>Simple</v>
      </c>
      <c r="AI62" s="8" t="s">
        <v>343</v>
      </c>
      <c r="AK62" s="8" t="s">
        <v>343</v>
      </c>
      <c r="AL62" s="6">
        <v>1.0</v>
      </c>
    </row>
    <row r="63" ht="14.25" customHeight="1">
      <c r="A63" s="6" t="s">
        <v>438</v>
      </c>
      <c r="B63" s="6" t="s">
        <v>439</v>
      </c>
      <c r="C63" s="7" t="s">
        <v>40</v>
      </c>
      <c r="D63" s="7" t="s">
        <v>41</v>
      </c>
      <c r="E63" s="6" t="s">
        <v>132</v>
      </c>
      <c r="F63" s="6" t="s">
        <v>43</v>
      </c>
      <c r="G63" s="6" t="s">
        <v>408</v>
      </c>
      <c r="I63" s="6" t="s">
        <v>45</v>
      </c>
      <c r="J63" s="6" t="s">
        <v>7</v>
      </c>
      <c r="N63" s="6" t="s">
        <v>367</v>
      </c>
      <c r="O63" s="6" t="s">
        <v>47</v>
      </c>
      <c r="P63" s="8" t="s">
        <v>214</v>
      </c>
      <c r="Q63" s="8" t="s">
        <v>440</v>
      </c>
      <c r="R63" s="8" t="s">
        <v>441</v>
      </c>
      <c r="S63" s="8" t="s">
        <v>441</v>
      </c>
      <c r="W63" s="18">
        <f t="shared" si="1"/>
        <v>0.108900463</v>
      </c>
      <c r="Y63" s="2" t="str">
        <f t="shared" si="2"/>
        <v>Simple</v>
      </c>
      <c r="Z63" s="2" t="str">
        <f t="shared" si="3"/>
        <v>Simple</v>
      </c>
      <c r="AI63" s="8" t="s">
        <v>247</v>
      </c>
      <c r="AK63" s="8" t="s">
        <v>247</v>
      </c>
      <c r="AL63" s="6">
        <v>1.0</v>
      </c>
    </row>
    <row r="64" ht="14.25" customHeight="1">
      <c r="A64" s="6" t="s">
        <v>442</v>
      </c>
      <c r="B64" s="6" t="s">
        <v>443</v>
      </c>
      <c r="C64" s="7" t="s">
        <v>40</v>
      </c>
      <c r="D64" s="7" t="s">
        <v>41</v>
      </c>
      <c r="E64" s="6" t="s">
        <v>444</v>
      </c>
      <c r="F64" s="6" t="s">
        <v>43</v>
      </c>
      <c r="G64" s="6" t="s">
        <v>445</v>
      </c>
      <c r="I64" s="6" t="s">
        <v>45</v>
      </c>
      <c r="J64" s="6" t="s">
        <v>7</v>
      </c>
      <c r="N64" s="6" t="s">
        <v>367</v>
      </c>
      <c r="O64" s="6" t="s">
        <v>47</v>
      </c>
      <c r="P64" s="8" t="s">
        <v>236</v>
      </c>
      <c r="Q64" s="8" t="s">
        <v>446</v>
      </c>
      <c r="R64" s="8" t="s">
        <v>447</v>
      </c>
      <c r="S64" s="8" t="s">
        <v>447</v>
      </c>
      <c r="W64" s="18">
        <f t="shared" si="1"/>
        <v>0.843287037</v>
      </c>
      <c r="Y64" s="2" t="str">
        <f t="shared" si="2"/>
        <v>Simple</v>
      </c>
      <c r="Z64" s="2" t="str">
        <f t="shared" si="3"/>
        <v>Simple</v>
      </c>
      <c r="AI64" s="8" t="s">
        <v>448</v>
      </c>
      <c r="AK64" s="8" t="s">
        <v>448</v>
      </c>
      <c r="AL64" s="6">
        <v>3.0</v>
      </c>
    </row>
    <row r="65" ht="14.25" customHeight="1">
      <c r="A65" s="6" t="s">
        <v>449</v>
      </c>
      <c r="B65" s="6" t="s">
        <v>450</v>
      </c>
      <c r="C65" s="7" t="s">
        <v>40</v>
      </c>
      <c r="D65" s="7" t="s">
        <v>41</v>
      </c>
      <c r="E65" s="6" t="s">
        <v>288</v>
      </c>
      <c r="F65" s="6" t="s">
        <v>133</v>
      </c>
      <c r="G65" s="6" t="s">
        <v>451</v>
      </c>
      <c r="I65" s="6" t="s">
        <v>45</v>
      </c>
      <c r="J65" s="6" t="s">
        <v>7</v>
      </c>
      <c r="N65" s="6" t="s">
        <v>367</v>
      </c>
      <c r="O65" s="6" t="s">
        <v>47</v>
      </c>
      <c r="P65" s="8" t="s">
        <v>250</v>
      </c>
      <c r="Q65" s="8" t="s">
        <v>452</v>
      </c>
      <c r="R65" s="8" t="s">
        <v>453</v>
      </c>
      <c r="S65" s="8" t="s">
        <v>453</v>
      </c>
      <c r="W65" s="18">
        <f t="shared" si="1"/>
        <v>0.1024537037</v>
      </c>
      <c r="Y65" s="2" t="str">
        <f t="shared" si="2"/>
        <v>Simple</v>
      </c>
      <c r="Z65" s="2" t="str">
        <f t="shared" si="3"/>
        <v>Simple</v>
      </c>
      <c r="AI65" s="8" t="s">
        <v>454</v>
      </c>
      <c r="AK65" s="8" t="s">
        <v>454</v>
      </c>
      <c r="AL65" s="6">
        <v>6.0</v>
      </c>
    </row>
    <row r="66" ht="14.25" customHeight="1">
      <c r="A66" s="6" t="s">
        <v>455</v>
      </c>
      <c r="B66" s="6" t="s">
        <v>439</v>
      </c>
      <c r="C66" s="7" t="s">
        <v>40</v>
      </c>
      <c r="D66" s="7" t="s">
        <v>41</v>
      </c>
      <c r="E66" s="6" t="s">
        <v>132</v>
      </c>
      <c r="F66" s="6" t="s">
        <v>43</v>
      </c>
      <c r="G66" s="6" t="s">
        <v>408</v>
      </c>
      <c r="I66" s="6" t="s">
        <v>45</v>
      </c>
      <c r="J66" s="6" t="s">
        <v>7</v>
      </c>
      <c r="N66" s="6" t="s">
        <v>367</v>
      </c>
      <c r="O66" s="6" t="s">
        <v>47</v>
      </c>
      <c r="P66" s="8" t="s">
        <v>268</v>
      </c>
      <c r="Q66" s="8" t="s">
        <v>456</v>
      </c>
      <c r="R66" s="8" t="s">
        <v>457</v>
      </c>
      <c r="S66" s="8" t="s">
        <v>458</v>
      </c>
      <c r="U66" s="6">
        <v>298.0</v>
      </c>
      <c r="V66" s="6">
        <v>182.0</v>
      </c>
      <c r="W66" s="18">
        <f t="shared" si="1"/>
        <v>0.8329050926</v>
      </c>
      <c r="Y66" s="2" t="str">
        <f t="shared" si="2"/>
        <v>Simple</v>
      </c>
      <c r="Z66" s="2" t="str">
        <f t="shared" si="3"/>
        <v>Simple</v>
      </c>
      <c r="AI66" s="8" t="s">
        <v>459</v>
      </c>
      <c r="AK66" s="8" t="s">
        <v>459</v>
      </c>
      <c r="AL66" s="6">
        <v>3.0</v>
      </c>
    </row>
    <row r="67" ht="14.25" customHeight="1">
      <c r="A67" s="6" t="s">
        <v>460</v>
      </c>
      <c r="B67" s="6" t="s">
        <v>461</v>
      </c>
      <c r="C67" s="7" t="s">
        <v>40</v>
      </c>
      <c r="D67" s="7" t="s">
        <v>41</v>
      </c>
      <c r="E67" s="6" t="s">
        <v>141</v>
      </c>
      <c r="F67" s="6" t="s">
        <v>91</v>
      </c>
      <c r="G67" s="6" t="s">
        <v>366</v>
      </c>
      <c r="I67" s="6" t="s">
        <v>45</v>
      </c>
      <c r="J67" s="6" t="s">
        <v>7</v>
      </c>
      <c r="N67" s="6" t="s">
        <v>367</v>
      </c>
      <c r="O67" s="6" t="s">
        <v>462</v>
      </c>
      <c r="P67" s="8" t="s">
        <v>274</v>
      </c>
      <c r="Q67" s="8" t="s">
        <v>463</v>
      </c>
      <c r="R67" s="8" t="s">
        <v>464</v>
      </c>
      <c r="S67" s="8" t="s">
        <v>464</v>
      </c>
      <c r="W67" s="18">
        <f t="shared" si="1"/>
        <v>0.8033101852</v>
      </c>
      <c r="Y67" s="2" t="str">
        <f t="shared" si="2"/>
        <v>Simple</v>
      </c>
      <c r="Z67" s="2" t="str">
        <f t="shared" si="3"/>
        <v>Simple</v>
      </c>
      <c r="AI67" s="8" t="s">
        <v>465</v>
      </c>
      <c r="AK67" s="8" t="s">
        <v>465</v>
      </c>
      <c r="AL67" s="6">
        <v>3.0</v>
      </c>
    </row>
    <row r="68" ht="14.25" customHeight="1">
      <c r="A68" s="6" t="s">
        <v>466</v>
      </c>
      <c r="B68" s="6" t="s">
        <v>467</v>
      </c>
      <c r="C68" s="7" t="s">
        <v>40</v>
      </c>
      <c r="D68" s="7" t="s">
        <v>41</v>
      </c>
      <c r="E68" s="6" t="s">
        <v>73</v>
      </c>
      <c r="F68" s="6" t="s">
        <v>43</v>
      </c>
      <c r="G68" s="6" t="s">
        <v>74</v>
      </c>
      <c r="I68" s="6" t="s">
        <v>45</v>
      </c>
      <c r="J68" s="6" t="s">
        <v>7</v>
      </c>
      <c r="N68" s="6" t="s">
        <v>367</v>
      </c>
      <c r="O68" s="6" t="s">
        <v>47</v>
      </c>
      <c r="P68" s="8" t="s">
        <v>292</v>
      </c>
      <c r="Q68" s="8" t="s">
        <v>468</v>
      </c>
      <c r="R68" s="8" t="s">
        <v>469</v>
      </c>
      <c r="S68" s="8" t="s">
        <v>469</v>
      </c>
      <c r="W68" s="18">
        <f t="shared" si="1"/>
        <v>0.7108564815</v>
      </c>
      <c r="Y68" s="2" t="str">
        <f t="shared" si="2"/>
        <v>Simple</v>
      </c>
      <c r="Z68" s="2" t="str">
        <f t="shared" si="3"/>
        <v>Simple</v>
      </c>
      <c r="AI68" s="8" t="s">
        <v>259</v>
      </c>
      <c r="AK68" s="8" t="s">
        <v>259</v>
      </c>
      <c r="AL68" s="6">
        <v>1.0</v>
      </c>
    </row>
    <row r="69" ht="14.25" customHeight="1">
      <c r="A69" s="6" t="s">
        <v>470</v>
      </c>
      <c r="B69" s="6" t="s">
        <v>471</v>
      </c>
      <c r="C69" s="7" t="s">
        <v>40</v>
      </c>
      <c r="D69" s="7" t="s">
        <v>41</v>
      </c>
      <c r="E69" s="6" t="s">
        <v>63</v>
      </c>
      <c r="F69" s="6" t="s">
        <v>43</v>
      </c>
      <c r="G69" s="6" t="s">
        <v>472</v>
      </c>
      <c r="I69" s="6" t="s">
        <v>45</v>
      </c>
      <c r="J69" s="6" t="s">
        <v>7</v>
      </c>
      <c r="N69" s="6" t="s">
        <v>367</v>
      </c>
      <c r="O69" s="6" t="s">
        <v>47</v>
      </c>
      <c r="P69" s="8" t="s">
        <v>329</v>
      </c>
      <c r="Q69" s="8" t="s">
        <v>473</v>
      </c>
      <c r="R69" s="8" t="s">
        <v>474</v>
      </c>
      <c r="S69" s="8" t="s">
        <v>474</v>
      </c>
      <c r="W69" s="18">
        <f t="shared" si="1"/>
        <v>3.72212963</v>
      </c>
      <c r="Y69" s="2" t="str">
        <f t="shared" si="2"/>
        <v>Complex</v>
      </c>
      <c r="Z69" s="2" t="str">
        <f t="shared" si="3"/>
        <v>Complex</v>
      </c>
      <c r="AI69" s="8" t="s">
        <v>265</v>
      </c>
      <c r="AK69" s="8" t="s">
        <v>265</v>
      </c>
      <c r="AL69" s="6">
        <v>3.0</v>
      </c>
    </row>
    <row r="70" ht="14.25" customHeight="1">
      <c r="A70" s="6" t="s">
        <v>475</v>
      </c>
      <c r="B70" s="6" t="s">
        <v>476</v>
      </c>
      <c r="C70" s="7" t="s">
        <v>40</v>
      </c>
      <c r="D70" s="7" t="s">
        <v>41</v>
      </c>
      <c r="E70" s="6" t="s">
        <v>132</v>
      </c>
      <c r="F70" s="6" t="s">
        <v>43</v>
      </c>
      <c r="G70" s="6" t="s">
        <v>408</v>
      </c>
      <c r="I70" s="6" t="s">
        <v>45</v>
      </c>
      <c r="J70" s="6" t="s">
        <v>7</v>
      </c>
      <c r="N70" s="6" t="s">
        <v>367</v>
      </c>
      <c r="O70" s="6" t="s">
        <v>47</v>
      </c>
      <c r="P70" s="8" t="s">
        <v>339</v>
      </c>
      <c r="Q70" s="8" t="s">
        <v>477</v>
      </c>
      <c r="R70" s="8" t="s">
        <v>478</v>
      </c>
      <c r="S70" s="8" t="s">
        <v>479</v>
      </c>
      <c r="U70" s="6">
        <v>612.0</v>
      </c>
      <c r="V70" s="6">
        <v>-132.0</v>
      </c>
      <c r="W70" s="18">
        <f t="shared" si="1"/>
        <v>1.050127315</v>
      </c>
      <c r="Y70" s="2" t="str">
        <f t="shared" si="2"/>
        <v>Simple</v>
      </c>
      <c r="Z70" s="2" t="str">
        <f t="shared" si="3"/>
        <v>Simple</v>
      </c>
      <c r="AI70" s="8" t="s">
        <v>480</v>
      </c>
      <c r="AK70" s="8" t="s">
        <v>480</v>
      </c>
      <c r="AL70" s="6">
        <v>3.0</v>
      </c>
    </row>
    <row r="71" ht="14.25" customHeight="1">
      <c r="A71" s="6" t="s">
        <v>481</v>
      </c>
      <c r="B71" s="6" t="s">
        <v>482</v>
      </c>
      <c r="C71" s="7" t="s">
        <v>40</v>
      </c>
      <c r="D71" s="7" t="s">
        <v>41</v>
      </c>
      <c r="E71" s="6" t="s">
        <v>73</v>
      </c>
      <c r="F71" s="6" t="s">
        <v>43</v>
      </c>
      <c r="G71" s="6" t="s">
        <v>483</v>
      </c>
      <c r="I71" s="6" t="s">
        <v>45</v>
      </c>
      <c r="J71" s="6" t="s">
        <v>7</v>
      </c>
      <c r="N71" s="6" t="s">
        <v>367</v>
      </c>
      <c r="O71" s="6" t="s">
        <v>47</v>
      </c>
      <c r="P71" s="8" t="s">
        <v>346</v>
      </c>
      <c r="Q71" s="8" t="s">
        <v>484</v>
      </c>
      <c r="R71" s="8" t="s">
        <v>485</v>
      </c>
      <c r="S71" s="8" t="s">
        <v>485</v>
      </c>
      <c r="W71" s="18">
        <f t="shared" si="1"/>
        <v>0.8224652778</v>
      </c>
      <c r="Y71" s="2" t="str">
        <f t="shared" si="2"/>
        <v>Simple</v>
      </c>
      <c r="Z71" s="2" t="str">
        <f t="shared" si="3"/>
        <v>Simple</v>
      </c>
      <c r="AI71" s="8" t="s">
        <v>486</v>
      </c>
      <c r="AK71" s="8" t="s">
        <v>486</v>
      </c>
      <c r="AL71" s="6">
        <v>2.0</v>
      </c>
    </row>
    <row r="72" ht="14.25" customHeight="1">
      <c r="A72" s="6" t="s">
        <v>487</v>
      </c>
      <c r="B72" s="6" t="s">
        <v>488</v>
      </c>
      <c r="C72" s="7" t="s">
        <v>40</v>
      </c>
      <c r="D72" s="7" t="s">
        <v>41</v>
      </c>
      <c r="E72" s="6" t="s">
        <v>73</v>
      </c>
      <c r="F72" s="6" t="s">
        <v>64</v>
      </c>
      <c r="G72" s="6" t="s">
        <v>483</v>
      </c>
      <c r="I72" s="6" t="s">
        <v>45</v>
      </c>
      <c r="J72" s="6" t="s">
        <v>7</v>
      </c>
      <c r="N72" s="6" t="s">
        <v>367</v>
      </c>
      <c r="O72" s="6" t="s">
        <v>66</v>
      </c>
      <c r="P72" s="8" t="s">
        <v>363</v>
      </c>
      <c r="Q72" s="8" t="s">
        <v>489</v>
      </c>
      <c r="R72" s="8" t="s">
        <v>490</v>
      </c>
      <c r="S72" s="8" t="s">
        <v>490</v>
      </c>
      <c r="W72" s="18">
        <f t="shared" si="1"/>
        <v>3.953599537</v>
      </c>
      <c r="Y72" s="2" t="str">
        <f t="shared" si="2"/>
        <v>Complex</v>
      </c>
      <c r="Z72" s="2" t="str">
        <f t="shared" si="3"/>
        <v>Complex</v>
      </c>
      <c r="AI72" s="8" t="s">
        <v>272</v>
      </c>
      <c r="AK72" s="8" t="s">
        <v>272</v>
      </c>
      <c r="AL72" s="6">
        <v>3.0</v>
      </c>
    </row>
    <row r="73" ht="14.25" customHeight="1">
      <c r="A73" s="6" t="s">
        <v>491</v>
      </c>
      <c r="B73" s="6" t="s">
        <v>492</v>
      </c>
      <c r="C73" s="7" t="s">
        <v>40</v>
      </c>
      <c r="D73" s="7" t="s">
        <v>41</v>
      </c>
      <c r="E73" s="6" t="s">
        <v>132</v>
      </c>
      <c r="F73" s="6" t="s">
        <v>43</v>
      </c>
      <c r="G73" s="6" t="s">
        <v>408</v>
      </c>
      <c r="I73" s="6" t="s">
        <v>45</v>
      </c>
      <c r="J73" s="6" t="s">
        <v>7</v>
      </c>
      <c r="N73" s="6" t="s">
        <v>367</v>
      </c>
      <c r="O73" s="6" t="s">
        <v>135</v>
      </c>
      <c r="P73" s="8" t="s">
        <v>372</v>
      </c>
      <c r="Q73" s="8" t="s">
        <v>493</v>
      </c>
      <c r="R73" s="8" t="s">
        <v>494</v>
      </c>
      <c r="S73" s="8" t="s">
        <v>494</v>
      </c>
      <c r="W73" s="18">
        <f t="shared" si="1"/>
        <v>0.1031944444</v>
      </c>
      <c r="Y73" s="2" t="str">
        <f t="shared" si="2"/>
        <v>Simple</v>
      </c>
      <c r="Z73" s="2" t="str">
        <f t="shared" si="3"/>
        <v>Simple</v>
      </c>
      <c r="AI73" s="8" t="s">
        <v>279</v>
      </c>
      <c r="AK73" s="8" t="s">
        <v>279</v>
      </c>
      <c r="AL73" s="6">
        <v>5.0</v>
      </c>
    </row>
    <row r="74" ht="14.25" customHeight="1">
      <c r="A74" s="6" t="s">
        <v>495</v>
      </c>
      <c r="B74" s="6" t="s">
        <v>496</v>
      </c>
      <c r="C74" s="7" t="s">
        <v>40</v>
      </c>
      <c r="D74" s="7" t="s">
        <v>41</v>
      </c>
      <c r="E74" s="6" t="s">
        <v>90</v>
      </c>
      <c r="F74" s="6" t="s">
        <v>43</v>
      </c>
      <c r="G74" s="6" t="s">
        <v>92</v>
      </c>
      <c r="I74" s="6" t="s">
        <v>45</v>
      </c>
      <c r="J74" s="6" t="s">
        <v>7</v>
      </c>
      <c r="N74" s="6" t="s">
        <v>367</v>
      </c>
      <c r="O74" s="6" t="s">
        <v>149</v>
      </c>
      <c r="P74" s="8" t="s">
        <v>378</v>
      </c>
      <c r="Q74" s="8" t="s">
        <v>497</v>
      </c>
      <c r="R74" s="8" t="s">
        <v>498</v>
      </c>
      <c r="S74" s="8" t="s">
        <v>498</v>
      </c>
      <c r="W74" s="18">
        <f t="shared" si="1"/>
        <v>0.0183449074</v>
      </c>
      <c r="Y74" s="2" t="str">
        <f t="shared" si="2"/>
        <v>Simple</v>
      </c>
      <c r="Z74" s="2" t="str">
        <f t="shared" si="3"/>
        <v>Simple</v>
      </c>
      <c r="AI74" s="8" t="s">
        <v>499</v>
      </c>
      <c r="AK74" s="8" t="s">
        <v>499</v>
      </c>
      <c r="AL74" s="6">
        <v>1.0</v>
      </c>
    </row>
    <row r="75" ht="14.25" customHeight="1">
      <c r="A75" s="6" t="s">
        <v>500</v>
      </c>
      <c r="B75" s="6" t="s">
        <v>501</v>
      </c>
      <c r="C75" s="7" t="s">
        <v>40</v>
      </c>
      <c r="D75" s="7" t="s">
        <v>41</v>
      </c>
      <c r="E75" s="6" t="s">
        <v>73</v>
      </c>
      <c r="F75" s="6" t="s">
        <v>64</v>
      </c>
      <c r="G75" s="6" t="s">
        <v>421</v>
      </c>
      <c r="I75" s="6" t="s">
        <v>45</v>
      </c>
      <c r="J75" s="6" t="s">
        <v>7</v>
      </c>
      <c r="N75" s="6" t="s">
        <v>367</v>
      </c>
      <c r="O75" s="6" t="s">
        <v>56</v>
      </c>
      <c r="P75" s="8" t="s">
        <v>502</v>
      </c>
      <c r="Q75" s="8" t="s">
        <v>503</v>
      </c>
      <c r="R75" s="8" t="s">
        <v>504</v>
      </c>
      <c r="S75" s="8" t="s">
        <v>504</v>
      </c>
      <c r="W75" s="18">
        <f t="shared" si="1"/>
        <v>0.02065972222</v>
      </c>
      <c r="Y75" s="2" t="str">
        <f t="shared" si="2"/>
        <v>Simple</v>
      </c>
      <c r="Z75" s="2" t="str">
        <f t="shared" si="3"/>
        <v>Simple</v>
      </c>
      <c r="AI75" s="8" t="s">
        <v>505</v>
      </c>
      <c r="AK75" s="8" t="s">
        <v>505</v>
      </c>
      <c r="AL75" s="6">
        <v>2.0</v>
      </c>
    </row>
    <row r="76" ht="14.25" customHeight="1">
      <c r="A76" s="6" t="s">
        <v>506</v>
      </c>
      <c r="B76" s="6" t="s">
        <v>507</v>
      </c>
      <c r="C76" s="7" t="s">
        <v>40</v>
      </c>
      <c r="D76" s="7" t="s">
        <v>41</v>
      </c>
      <c r="E76" s="6" t="s">
        <v>508</v>
      </c>
      <c r="F76" s="6" t="s">
        <v>43</v>
      </c>
      <c r="G76" s="6" t="s">
        <v>509</v>
      </c>
      <c r="I76" s="6" t="s">
        <v>45</v>
      </c>
      <c r="J76" s="6" t="s">
        <v>7</v>
      </c>
      <c r="N76" s="6" t="s">
        <v>367</v>
      </c>
      <c r="O76" s="6" t="s">
        <v>135</v>
      </c>
      <c r="P76" s="8" t="s">
        <v>510</v>
      </c>
      <c r="Q76" s="8" t="s">
        <v>511</v>
      </c>
      <c r="R76" s="8" t="s">
        <v>512</v>
      </c>
      <c r="S76" s="8" t="s">
        <v>512</v>
      </c>
      <c r="W76" s="18">
        <f t="shared" si="1"/>
        <v>0.05984953704</v>
      </c>
      <c r="Y76" s="2" t="str">
        <f t="shared" si="2"/>
        <v>Simple</v>
      </c>
      <c r="Z76" s="2" t="str">
        <f t="shared" si="3"/>
        <v>Simple</v>
      </c>
      <c r="AI76" s="8" t="s">
        <v>289</v>
      </c>
      <c r="AK76" s="8" t="s">
        <v>289</v>
      </c>
      <c r="AL76" s="6">
        <v>2.0</v>
      </c>
    </row>
    <row r="77" ht="14.25" customHeight="1">
      <c r="A77" s="6" t="s">
        <v>513</v>
      </c>
      <c r="B77" s="6" t="s">
        <v>514</v>
      </c>
      <c r="C77" s="7" t="s">
        <v>40</v>
      </c>
      <c r="D77" s="7" t="s">
        <v>41</v>
      </c>
      <c r="E77" s="6" t="s">
        <v>515</v>
      </c>
      <c r="F77" s="6" t="s">
        <v>43</v>
      </c>
      <c r="G77" s="6" t="s">
        <v>516</v>
      </c>
      <c r="I77" s="6" t="s">
        <v>45</v>
      </c>
      <c r="J77" s="6" t="s">
        <v>7</v>
      </c>
      <c r="N77" s="6" t="s">
        <v>367</v>
      </c>
      <c r="O77" s="6" t="s">
        <v>47</v>
      </c>
      <c r="P77" s="8" t="s">
        <v>396</v>
      </c>
      <c r="Q77" s="8" t="s">
        <v>517</v>
      </c>
      <c r="R77" s="8" t="s">
        <v>518</v>
      </c>
      <c r="S77" s="8" t="s">
        <v>518</v>
      </c>
      <c r="W77" s="18">
        <f t="shared" si="1"/>
        <v>1.127418981</v>
      </c>
      <c r="Y77" s="2" t="str">
        <f t="shared" si="2"/>
        <v>Simple</v>
      </c>
      <c r="Z77" s="2" t="str">
        <f t="shared" si="3"/>
        <v>Simple</v>
      </c>
      <c r="AI77" s="8" t="s">
        <v>519</v>
      </c>
      <c r="AK77" s="8" t="s">
        <v>519</v>
      </c>
      <c r="AL77" s="6">
        <v>4.0</v>
      </c>
    </row>
    <row r="78" ht="14.25" customHeight="1">
      <c r="A78" s="6" t="s">
        <v>520</v>
      </c>
      <c r="B78" s="6" t="s">
        <v>521</v>
      </c>
      <c r="C78" s="7" t="s">
        <v>40</v>
      </c>
      <c r="D78" s="7" t="s">
        <v>41</v>
      </c>
      <c r="E78" s="6" t="s">
        <v>141</v>
      </c>
      <c r="F78" s="6" t="s">
        <v>64</v>
      </c>
      <c r="G78" s="6" t="s">
        <v>142</v>
      </c>
      <c r="I78" s="6" t="s">
        <v>45</v>
      </c>
      <c r="J78" s="6" t="s">
        <v>7</v>
      </c>
      <c r="N78" s="6" t="s">
        <v>367</v>
      </c>
      <c r="O78" s="6" t="s">
        <v>135</v>
      </c>
      <c r="P78" s="8" t="s">
        <v>400</v>
      </c>
      <c r="Q78" s="8" t="s">
        <v>522</v>
      </c>
      <c r="R78" s="8" t="s">
        <v>523</v>
      </c>
      <c r="S78" s="8" t="s">
        <v>523</v>
      </c>
      <c r="W78" s="18">
        <f t="shared" si="1"/>
        <v>0.02238425926</v>
      </c>
      <c r="Y78" s="2" t="str">
        <f t="shared" si="2"/>
        <v>Simple</v>
      </c>
      <c r="Z78" s="2" t="str">
        <f t="shared" si="3"/>
        <v>Simple</v>
      </c>
      <c r="AI78" s="8" t="s">
        <v>524</v>
      </c>
      <c r="AK78" s="8" t="s">
        <v>524</v>
      </c>
      <c r="AL78" s="6">
        <v>2.0</v>
      </c>
    </row>
    <row r="79" ht="14.25" customHeight="1">
      <c r="A79" s="6" t="s">
        <v>525</v>
      </c>
      <c r="B79" s="6" t="s">
        <v>526</v>
      </c>
      <c r="C79" s="7" t="s">
        <v>40</v>
      </c>
      <c r="D79" s="7" t="s">
        <v>41</v>
      </c>
      <c r="E79" s="6" t="s">
        <v>427</v>
      </c>
      <c r="F79" s="6" t="s">
        <v>64</v>
      </c>
      <c r="G79" s="6" t="s">
        <v>527</v>
      </c>
      <c r="I79" s="6" t="s">
        <v>45</v>
      </c>
      <c r="J79" s="6" t="s">
        <v>7</v>
      </c>
      <c r="N79" s="6" t="s">
        <v>367</v>
      </c>
      <c r="O79" s="6" t="s">
        <v>528</v>
      </c>
      <c r="P79" s="8" t="s">
        <v>448</v>
      </c>
      <c r="Q79" s="8" t="s">
        <v>529</v>
      </c>
      <c r="R79" s="8" t="s">
        <v>530</v>
      </c>
      <c r="S79" s="8" t="s">
        <v>530</v>
      </c>
      <c r="W79" s="18">
        <f t="shared" si="1"/>
        <v>0.01670138889</v>
      </c>
      <c r="Y79" s="2" t="str">
        <f t="shared" si="2"/>
        <v>Simple</v>
      </c>
      <c r="Z79" s="2" t="str">
        <f t="shared" si="3"/>
        <v>Simple</v>
      </c>
      <c r="AI79" s="8" t="s">
        <v>531</v>
      </c>
      <c r="AK79" s="8" t="s">
        <v>531</v>
      </c>
      <c r="AL79" s="6">
        <v>1.0</v>
      </c>
    </row>
    <row r="80" ht="14.25" customHeight="1">
      <c r="A80" s="6" t="s">
        <v>532</v>
      </c>
      <c r="B80" s="6" t="s">
        <v>533</v>
      </c>
      <c r="C80" s="7" t="s">
        <v>40</v>
      </c>
      <c r="D80" s="7" t="s">
        <v>41</v>
      </c>
      <c r="E80" s="6" t="s">
        <v>54</v>
      </c>
      <c r="F80" s="6" t="s">
        <v>43</v>
      </c>
      <c r="G80" s="6" t="s">
        <v>349</v>
      </c>
      <c r="I80" s="6" t="s">
        <v>45</v>
      </c>
      <c r="J80" s="6" t="s">
        <v>7</v>
      </c>
      <c r="N80" s="6" t="s">
        <v>367</v>
      </c>
      <c r="O80" s="6" t="s">
        <v>47</v>
      </c>
      <c r="P80" s="8" t="s">
        <v>454</v>
      </c>
      <c r="Q80" s="8" t="s">
        <v>534</v>
      </c>
      <c r="R80" s="8" t="s">
        <v>535</v>
      </c>
      <c r="S80" s="8" t="s">
        <v>536</v>
      </c>
      <c r="U80" s="6">
        <v>161.0</v>
      </c>
      <c r="V80" s="6">
        <v>319.0</v>
      </c>
      <c r="W80" s="18">
        <f t="shared" si="1"/>
        <v>0.1126157407</v>
      </c>
      <c r="Y80" s="2" t="str">
        <f t="shared" si="2"/>
        <v>Simple</v>
      </c>
      <c r="Z80" s="2" t="str">
        <f t="shared" si="3"/>
        <v>Simple</v>
      </c>
      <c r="AI80" s="8" t="s">
        <v>537</v>
      </c>
      <c r="AK80" s="8" t="s">
        <v>537</v>
      </c>
      <c r="AL80" s="6">
        <v>2.0</v>
      </c>
    </row>
    <row r="81" ht="14.25" customHeight="1">
      <c r="A81" s="6" t="s">
        <v>538</v>
      </c>
      <c r="B81" s="6" t="s">
        <v>539</v>
      </c>
      <c r="C81" s="7" t="s">
        <v>40</v>
      </c>
      <c r="D81" s="7" t="s">
        <v>41</v>
      </c>
      <c r="E81" s="6" t="s">
        <v>54</v>
      </c>
      <c r="F81" s="6" t="s">
        <v>43</v>
      </c>
      <c r="G81" s="6" t="s">
        <v>349</v>
      </c>
      <c r="I81" s="6" t="s">
        <v>45</v>
      </c>
      <c r="J81" s="6" t="s">
        <v>7</v>
      </c>
      <c r="N81" s="6" t="s">
        <v>367</v>
      </c>
      <c r="O81" s="6" t="s">
        <v>66</v>
      </c>
      <c r="P81" s="8" t="s">
        <v>459</v>
      </c>
      <c r="Q81" s="8" t="s">
        <v>540</v>
      </c>
      <c r="R81" s="8" t="s">
        <v>541</v>
      </c>
      <c r="S81" s="8" t="s">
        <v>541</v>
      </c>
      <c r="W81" s="18">
        <f t="shared" si="1"/>
        <v>0.1021527778</v>
      </c>
      <c r="Y81" s="2" t="str">
        <f t="shared" si="2"/>
        <v>Simple</v>
      </c>
      <c r="Z81" s="2" t="str">
        <f t="shared" si="3"/>
        <v>Simple</v>
      </c>
      <c r="AI81" s="8" t="s">
        <v>296</v>
      </c>
      <c r="AK81" s="8" t="s">
        <v>296</v>
      </c>
      <c r="AL81" s="6">
        <v>1.0</v>
      </c>
    </row>
    <row r="82" ht="14.25" customHeight="1">
      <c r="A82" s="6" t="s">
        <v>542</v>
      </c>
      <c r="B82" s="6" t="s">
        <v>420</v>
      </c>
      <c r="C82" s="7" t="s">
        <v>40</v>
      </c>
      <c r="D82" s="7" t="s">
        <v>41</v>
      </c>
      <c r="E82" s="6" t="s">
        <v>73</v>
      </c>
      <c r="F82" s="6" t="s">
        <v>43</v>
      </c>
      <c r="G82" s="6" t="s">
        <v>421</v>
      </c>
      <c r="I82" s="6" t="s">
        <v>45</v>
      </c>
      <c r="J82" s="6" t="s">
        <v>7</v>
      </c>
      <c r="N82" s="6" t="s">
        <v>367</v>
      </c>
      <c r="O82" s="6" t="s">
        <v>66</v>
      </c>
      <c r="P82" s="8" t="s">
        <v>480</v>
      </c>
      <c r="Q82" s="8" t="s">
        <v>266</v>
      </c>
      <c r="R82" s="8" t="s">
        <v>267</v>
      </c>
      <c r="S82" s="8" t="s">
        <v>267</v>
      </c>
      <c r="W82" s="18">
        <f t="shared" si="1"/>
        <v>0.05094907407</v>
      </c>
      <c r="Y82" s="2" t="str">
        <f t="shared" si="2"/>
        <v>Simple</v>
      </c>
      <c r="Z82" s="2" t="str">
        <f t="shared" si="3"/>
        <v>Simple</v>
      </c>
      <c r="AI82" s="8" t="s">
        <v>543</v>
      </c>
      <c r="AK82" s="8" t="s">
        <v>543</v>
      </c>
      <c r="AL82" s="6">
        <v>2.0</v>
      </c>
    </row>
    <row r="83" ht="14.25" customHeight="1">
      <c r="A83" s="6" t="s">
        <v>544</v>
      </c>
      <c r="B83" s="6" t="s">
        <v>387</v>
      </c>
      <c r="C83" s="7" t="s">
        <v>40</v>
      </c>
      <c r="D83" s="7" t="s">
        <v>41</v>
      </c>
      <c r="E83" s="6" t="s">
        <v>277</v>
      </c>
      <c r="F83" s="6" t="s">
        <v>43</v>
      </c>
      <c r="G83" s="6" t="s">
        <v>415</v>
      </c>
      <c r="I83" s="6" t="s">
        <v>45</v>
      </c>
      <c r="J83" s="6" t="s">
        <v>7</v>
      </c>
      <c r="N83" s="6" t="s">
        <v>367</v>
      </c>
      <c r="O83" s="6" t="s">
        <v>83</v>
      </c>
      <c r="P83" s="8" t="s">
        <v>486</v>
      </c>
      <c r="Q83" s="8" t="s">
        <v>266</v>
      </c>
      <c r="R83" s="8" t="s">
        <v>267</v>
      </c>
      <c r="S83" s="8" t="s">
        <v>267</v>
      </c>
      <c r="W83" s="18">
        <f t="shared" si="1"/>
        <v>0.0515625</v>
      </c>
      <c r="Y83" s="2" t="str">
        <f t="shared" si="2"/>
        <v>Simple</v>
      </c>
      <c r="Z83" s="2" t="str">
        <f t="shared" si="3"/>
        <v>Simple</v>
      </c>
      <c r="AI83" s="8" t="s">
        <v>353</v>
      </c>
      <c r="AK83" s="8" t="s">
        <v>353</v>
      </c>
      <c r="AL83" s="6">
        <v>2.0</v>
      </c>
    </row>
    <row r="84" ht="14.25" customHeight="1">
      <c r="A84" s="6" t="s">
        <v>545</v>
      </c>
      <c r="B84" s="6" t="s">
        <v>546</v>
      </c>
      <c r="C84" s="7" t="s">
        <v>40</v>
      </c>
      <c r="D84" s="7" t="s">
        <v>41</v>
      </c>
      <c r="E84" s="6" t="s">
        <v>288</v>
      </c>
      <c r="F84" s="6" t="s">
        <v>43</v>
      </c>
      <c r="G84" s="6" t="s">
        <v>74</v>
      </c>
      <c r="I84" s="6" t="s">
        <v>45</v>
      </c>
      <c r="J84" s="6" t="s">
        <v>7</v>
      </c>
      <c r="N84" s="6" t="s">
        <v>367</v>
      </c>
      <c r="O84" s="6" t="s">
        <v>83</v>
      </c>
      <c r="P84" s="8" t="s">
        <v>547</v>
      </c>
      <c r="Q84" s="8" t="s">
        <v>548</v>
      </c>
      <c r="R84" s="8" t="s">
        <v>291</v>
      </c>
      <c r="S84" s="8" t="s">
        <v>549</v>
      </c>
      <c r="U84" s="6">
        <v>72.0</v>
      </c>
      <c r="V84" s="6">
        <v>408.0</v>
      </c>
      <c r="W84" s="18">
        <f t="shared" si="1"/>
        <v>0.05083333333</v>
      </c>
      <c r="Y84" s="2" t="str">
        <f t="shared" si="2"/>
        <v>Simple</v>
      </c>
      <c r="Z84" s="2" t="str">
        <f t="shared" si="3"/>
        <v>Simple</v>
      </c>
      <c r="AI84" s="8" t="s">
        <v>300</v>
      </c>
      <c r="AK84" s="8" t="s">
        <v>300</v>
      </c>
      <c r="AL84" s="6">
        <v>2.0</v>
      </c>
    </row>
    <row r="85" ht="14.25" customHeight="1">
      <c r="A85" s="6" t="s">
        <v>550</v>
      </c>
      <c r="B85" s="6" t="s">
        <v>551</v>
      </c>
      <c r="C85" s="7" t="s">
        <v>40</v>
      </c>
      <c r="D85" s="7" t="s">
        <v>41</v>
      </c>
      <c r="E85" s="6" t="s">
        <v>552</v>
      </c>
      <c r="F85" s="6" t="s">
        <v>43</v>
      </c>
      <c r="G85" s="6" t="s">
        <v>553</v>
      </c>
      <c r="I85" s="6" t="s">
        <v>45</v>
      </c>
      <c r="J85" s="6" t="s">
        <v>7</v>
      </c>
      <c r="N85" s="6" t="s">
        <v>367</v>
      </c>
      <c r="O85" s="6" t="s">
        <v>66</v>
      </c>
      <c r="P85" s="8" t="s">
        <v>524</v>
      </c>
      <c r="Q85" s="8" t="s">
        <v>554</v>
      </c>
      <c r="R85" s="8" t="s">
        <v>555</v>
      </c>
      <c r="S85" s="8" t="s">
        <v>555</v>
      </c>
      <c r="W85" s="18">
        <f t="shared" si="1"/>
        <v>0.9263078704</v>
      </c>
      <c r="Y85" s="2" t="str">
        <f t="shared" si="2"/>
        <v>Simple</v>
      </c>
      <c r="Z85" s="2" t="str">
        <f t="shared" si="3"/>
        <v>Simple</v>
      </c>
      <c r="AI85" s="8" t="s">
        <v>556</v>
      </c>
      <c r="AK85" s="8" t="s">
        <v>556</v>
      </c>
      <c r="AL85" s="6">
        <v>1.0</v>
      </c>
    </row>
    <row r="86" ht="14.25" customHeight="1">
      <c r="A86" s="6" t="s">
        <v>557</v>
      </c>
      <c r="B86" s="6" t="s">
        <v>558</v>
      </c>
      <c r="C86" s="7" t="s">
        <v>40</v>
      </c>
      <c r="D86" s="7" t="s">
        <v>41</v>
      </c>
      <c r="E86" s="6" t="s">
        <v>73</v>
      </c>
      <c r="F86" s="6" t="s">
        <v>64</v>
      </c>
      <c r="G86" s="6" t="s">
        <v>451</v>
      </c>
      <c r="I86" s="6" t="s">
        <v>45</v>
      </c>
      <c r="J86" s="6" t="s">
        <v>7</v>
      </c>
      <c r="N86" s="6" t="s">
        <v>367</v>
      </c>
      <c r="O86" s="6" t="s">
        <v>47</v>
      </c>
      <c r="P86" s="8" t="s">
        <v>559</v>
      </c>
      <c r="Q86" s="8" t="s">
        <v>560</v>
      </c>
      <c r="R86" s="8" t="s">
        <v>561</v>
      </c>
      <c r="S86" s="8" t="s">
        <v>561</v>
      </c>
      <c r="W86" s="18">
        <f t="shared" si="1"/>
        <v>0.03533564815</v>
      </c>
      <c r="Y86" s="2" t="str">
        <f t="shared" si="2"/>
        <v>Simple</v>
      </c>
      <c r="Z86" s="2" t="str">
        <f t="shared" si="3"/>
        <v>Simple</v>
      </c>
      <c r="AI86" s="8" t="s">
        <v>305</v>
      </c>
      <c r="AK86" s="8" t="s">
        <v>305</v>
      </c>
      <c r="AL86" s="6">
        <v>1.0</v>
      </c>
    </row>
    <row r="87" ht="14.25" customHeight="1">
      <c r="A87" s="6" t="s">
        <v>562</v>
      </c>
      <c r="B87" s="6" t="s">
        <v>563</v>
      </c>
      <c r="C87" s="7" t="s">
        <v>40</v>
      </c>
      <c r="D87" s="7" t="s">
        <v>41</v>
      </c>
      <c r="E87" s="6" t="s">
        <v>73</v>
      </c>
      <c r="F87" s="6" t="s">
        <v>43</v>
      </c>
      <c r="G87" s="6" t="s">
        <v>564</v>
      </c>
      <c r="I87" s="6" t="s">
        <v>45</v>
      </c>
      <c r="J87" s="6" t="s">
        <v>7</v>
      </c>
      <c r="N87" s="6" t="s">
        <v>367</v>
      </c>
      <c r="O87" s="6" t="s">
        <v>66</v>
      </c>
      <c r="P87" s="8" t="s">
        <v>537</v>
      </c>
      <c r="Q87" s="8" t="s">
        <v>565</v>
      </c>
      <c r="R87" s="8" t="s">
        <v>565</v>
      </c>
      <c r="S87" s="8" t="s">
        <v>565</v>
      </c>
      <c r="W87" s="18">
        <f t="shared" si="1"/>
        <v>0.8306712963</v>
      </c>
      <c r="Y87" s="2" t="str">
        <f t="shared" si="2"/>
        <v>Simple</v>
      </c>
      <c r="Z87" s="2" t="str">
        <f t="shared" si="3"/>
        <v>Simple</v>
      </c>
      <c r="AI87" s="8" t="s">
        <v>311</v>
      </c>
      <c r="AK87" s="8" t="s">
        <v>311</v>
      </c>
      <c r="AL87" s="6">
        <v>2.0</v>
      </c>
    </row>
    <row r="88" ht="14.25" customHeight="1">
      <c r="A88" s="6" t="s">
        <v>566</v>
      </c>
      <c r="B88" s="6" t="s">
        <v>567</v>
      </c>
      <c r="C88" s="7" t="s">
        <v>40</v>
      </c>
      <c r="D88" s="7" t="s">
        <v>41</v>
      </c>
      <c r="E88" s="6" t="s">
        <v>427</v>
      </c>
      <c r="F88" s="6" t="s">
        <v>43</v>
      </c>
      <c r="G88" s="6" t="s">
        <v>428</v>
      </c>
      <c r="I88" s="6" t="s">
        <v>45</v>
      </c>
      <c r="J88" s="6" t="s">
        <v>7</v>
      </c>
      <c r="N88" s="6" t="s">
        <v>367</v>
      </c>
      <c r="O88" s="6" t="s">
        <v>47</v>
      </c>
      <c r="P88" s="8" t="s">
        <v>568</v>
      </c>
      <c r="Q88" s="8" t="s">
        <v>569</v>
      </c>
      <c r="R88" s="8" t="s">
        <v>569</v>
      </c>
      <c r="S88" s="8" t="s">
        <v>569</v>
      </c>
      <c r="W88" s="18">
        <f t="shared" si="1"/>
        <v>3.800960648</v>
      </c>
      <c r="Y88" s="2" t="str">
        <f t="shared" si="2"/>
        <v>Complex</v>
      </c>
      <c r="Z88" s="2" t="str">
        <f t="shared" si="3"/>
        <v>Complex</v>
      </c>
      <c r="AI88" s="8" t="s">
        <v>570</v>
      </c>
      <c r="AK88" s="8" t="s">
        <v>570</v>
      </c>
      <c r="AL88" s="6">
        <v>1.0</v>
      </c>
    </row>
    <row r="89" ht="14.25" customHeight="1">
      <c r="A89" s="6" t="s">
        <v>571</v>
      </c>
      <c r="B89" s="6" t="s">
        <v>572</v>
      </c>
      <c r="C89" s="7" t="s">
        <v>40</v>
      </c>
      <c r="D89" s="7" t="s">
        <v>41</v>
      </c>
      <c r="E89" s="6" t="s">
        <v>444</v>
      </c>
      <c r="F89" s="6" t="s">
        <v>43</v>
      </c>
      <c r="G89" s="6" t="s">
        <v>445</v>
      </c>
      <c r="I89" s="6" t="s">
        <v>45</v>
      </c>
      <c r="J89" s="6" t="s">
        <v>7</v>
      </c>
      <c r="N89" s="6" t="s">
        <v>367</v>
      </c>
      <c r="O89" s="6" t="s">
        <v>56</v>
      </c>
      <c r="P89" s="8" t="s">
        <v>573</v>
      </c>
      <c r="Q89" s="8" t="s">
        <v>574</v>
      </c>
      <c r="R89" s="8" t="s">
        <v>575</v>
      </c>
      <c r="S89" s="8" t="s">
        <v>575</v>
      </c>
      <c r="W89" s="18">
        <f t="shared" si="1"/>
        <v>0.9481944444</v>
      </c>
      <c r="Y89" s="2" t="str">
        <f t="shared" si="2"/>
        <v>Simple</v>
      </c>
      <c r="Z89" s="2" t="str">
        <f t="shared" si="3"/>
        <v>Simple</v>
      </c>
      <c r="AI89" s="8" t="s">
        <v>576</v>
      </c>
      <c r="AK89" s="8" t="s">
        <v>576</v>
      </c>
      <c r="AL89" s="6">
        <v>2.0</v>
      </c>
    </row>
    <row r="90" ht="14.25" customHeight="1">
      <c r="A90" s="6" t="s">
        <v>577</v>
      </c>
      <c r="B90" s="6" t="s">
        <v>387</v>
      </c>
      <c r="C90" s="7" t="s">
        <v>40</v>
      </c>
      <c r="D90" s="7" t="s">
        <v>41</v>
      </c>
      <c r="E90" s="6" t="s">
        <v>42</v>
      </c>
      <c r="F90" s="6" t="s">
        <v>43</v>
      </c>
      <c r="G90" s="6" t="s">
        <v>578</v>
      </c>
      <c r="I90" s="6" t="s">
        <v>45</v>
      </c>
      <c r="J90" s="6" t="s">
        <v>7</v>
      </c>
      <c r="N90" s="6" t="s">
        <v>367</v>
      </c>
      <c r="O90" s="6" t="s">
        <v>149</v>
      </c>
      <c r="P90" s="8" t="s">
        <v>570</v>
      </c>
      <c r="Q90" s="8" t="s">
        <v>579</v>
      </c>
      <c r="R90" s="8" t="s">
        <v>580</v>
      </c>
      <c r="S90" s="8" t="s">
        <v>580</v>
      </c>
      <c r="W90" s="18">
        <f t="shared" si="1"/>
        <v>0.02673611111</v>
      </c>
      <c r="Y90" s="2" t="str">
        <f t="shared" si="2"/>
        <v>Simple</v>
      </c>
      <c r="Z90" s="2" t="str">
        <f t="shared" si="3"/>
        <v>Simple</v>
      </c>
      <c r="AI90" s="8" t="s">
        <v>581</v>
      </c>
      <c r="AK90" s="8" t="s">
        <v>581</v>
      </c>
      <c r="AL90" s="6">
        <v>1.0</v>
      </c>
    </row>
    <row r="91" ht="14.25" customHeight="1">
      <c r="A91" s="6" t="s">
        <v>582</v>
      </c>
      <c r="B91" s="6" t="s">
        <v>583</v>
      </c>
      <c r="C91" s="7" t="s">
        <v>40</v>
      </c>
      <c r="D91" s="7" t="s">
        <v>326</v>
      </c>
      <c r="E91" s="6" t="s">
        <v>42</v>
      </c>
      <c r="F91" s="6" t="s">
        <v>43</v>
      </c>
      <c r="G91" s="6" t="s">
        <v>578</v>
      </c>
      <c r="I91" s="6" t="s">
        <v>45</v>
      </c>
      <c r="J91" s="6" t="s">
        <v>7</v>
      </c>
      <c r="N91" s="6" t="s">
        <v>367</v>
      </c>
      <c r="O91" s="6" t="s">
        <v>47</v>
      </c>
      <c r="P91" s="8" t="s">
        <v>576</v>
      </c>
      <c r="Q91" s="8" t="s">
        <v>584</v>
      </c>
      <c r="R91" s="8" t="s">
        <v>585</v>
      </c>
      <c r="S91" s="8" t="s">
        <v>585</v>
      </c>
      <c r="W91" s="18">
        <f t="shared" si="1"/>
        <v>0.02898148148</v>
      </c>
      <c r="Y91" s="2" t="str">
        <f t="shared" si="2"/>
        <v>Simple</v>
      </c>
      <c r="Z91" s="2" t="str">
        <f t="shared" si="3"/>
        <v>Simple</v>
      </c>
      <c r="AI91" s="8" t="s">
        <v>586</v>
      </c>
      <c r="AK91" s="8" t="s">
        <v>586</v>
      </c>
      <c r="AL91" s="6">
        <v>1.0</v>
      </c>
    </row>
    <row r="92" ht="14.25" customHeight="1">
      <c r="A92" s="6" t="s">
        <v>587</v>
      </c>
      <c r="B92" s="6" t="s">
        <v>588</v>
      </c>
      <c r="C92" s="7" t="s">
        <v>40</v>
      </c>
      <c r="D92" s="7" t="s">
        <v>41</v>
      </c>
      <c r="E92" s="6" t="s">
        <v>106</v>
      </c>
      <c r="F92" s="6" t="s">
        <v>133</v>
      </c>
      <c r="G92" s="6" t="s">
        <v>107</v>
      </c>
      <c r="I92" s="6" t="s">
        <v>45</v>
      </c>
      <c r="J92" s="6" t="s">
        <v>7</v>
      </c>
      <c r="N92" s="6" t="s">
        <v>367</v>
      </c>
      <c r="O92" s="6" t="s">
        <v>47</v>
      </c>
      <c r="P92" s="8" t="s">
        <v>581</v>
      </c>
      <c r="Q92" s="8" t="s">
        <v>589</v>
      </c>
      <c r="R92" s="8" t="s">
        <v>590</v>
      </c>
      <c r="S92" s="8" t="s">
        <v>590</v>
      </c>
      <c r="W92" s="18">
        <f t="shared" si="1"/>
        <v>1.07994213</v>
      </c>
      <c r="Y92" s="2" t="str">
        <f t="shared" si="2"/>
        <v>Simple</v>
      </c>
      <c r="Z92" s="2" t="str">
        <f t="shared" si="3"/>
        <v>Simple</v>
      </c>
      <c r="AI92" s="8" t="s">
        <v>591</v>
      </c>
      <c r="AK92" s="8" t="s">
        <v>591</v>
      </c>
      <c r="AL92" s="6">
        <v>2.0</v>
      </c>
    </row>
    <row r="93" ht="14.25" customHeight="1">
      <c r="A93" s="6" t="s">
        <v>592</v>
      </c>
      <c r="B93" s="6" t="s">
        <v>593</v>
      </c>
      <c r="C93" s="7" t="s">
        <v>40</v>
      </c>
      <c r="D93" s="7" t="s">
        <v>41</v>
      </c>
      <c r="E93" s="6" t="s">
        <v>106</v>
      </c>
      <c r="F93" s="6" t="s">
        <v>224</v>
      </c>
      <c r="G93" s="6" t="s">
        <v>107</v>
      </c>
      <c r="I93" s="6" t="s">
        <v>45</v>
      </c>
      <c r="J93" s="6" t="s">
        <v>7</v>
      </c>
      <c r="N93" s="6" t="s">
        <v>367</v>
      </c>
      <c r="O93" s="6" t="s">
        <v>47</v>
      </c>
      <c r="P93" s="8" t="s">
        <v>594</v>
      </c>
      <c r="Q93" s="8" t="s">
        <v>595</v>
      </c>
      <c r="R93" s="8" t="s">
        <v>596</v>
      </c>
      <c r="S93" s="8" t="s">
        <v>596</v>
      </c>
      <c r="W93" s="18">
        <f t="shared" si="1"/>
        <v>1.082708333</v>
      </c>
      <c r="Y93" s="2" t="str">
        <f t="shared" si="2"/>
        <v>Simple</v>
      </c>
      <c r="Z93" s="2" t="str">
        <f t="shared" si="3"/>
        <v>Simple</v>
      </c>
      <c r="AI93" s="8" t="s">
        <v>597</v>
      </c>
      <c r="AK93" s="8" t="s">
        <v>597</v>
      </c>
      <c r="AL93" s="6">
        <v>2.0</v>
      </c>
    </row>
    <row r="94" ht="14.25" customHeight="1">
      <c r="A94" s="6" t="s">
        <v>598</v>
      </c>
      <c r="B94" s="6" t="s">
        <v>599</v>
      </c>
      <c r="C94" s="7" t="s">
        <v>40</v>
      </c>
      <c r="D94" s="7" t="s">
        <v>367</v>
      </c>
      <c r="E94" s="6" t="s">
        <v>600</v>
      </c>
      <c r="F94" s="6" t="s">
        <v>43</v>
      </c>
      <c r="G94" s="6" t="s">
        <v>483</v>
      </c>
      <c r="I94" s="6" t="s">
        <v>45</v>
      </c>
      <c r="J94" s="6" t="s">
        <v>7</v>
      </c>
      <c r="N94" s="6" t="s">
        <v>367</v>
      </c>
      <c r="O94" s="6" t="s">
        <v>47</v>
      </c>
      <c r="P94" s="8" t="s">
        <v>601</v>
      </c>
      <c r="Q94" s="8" t="s">
        <v>602</v>
      </c>
      <c r="R94" s="8" t="s">
        <v>603</v>
      </c>
      <c r="S94" s="8" t="s">
        <v>603</v>
      </c>
      <c r="W94" s="18">
        <f t="shared" si="1"/>
        <v>0.780787037</v>
      </c>
      <c r="Y94" s="2" t="str">
        <f t="shared" si="2"/>
        <v>Simple</v>
      </c>
      <c r="Z94" s="2" t="str">
        <f t="shared" si="3"/>
        <v>Simple</v>
      </c>
      <c r="AI94" s="8" t="s">
        <v>604</v>
      </c>
      <c r="AK94" s="8" t="s">
        <v>604</v>
      </c>
      <c r="AL94" s="6">
        <v>2.0</v>
      </c>
    </row>
    <row r="95" ht="14.25" customHeight="1">
      <c r="A95" s="6" t="s">
        <v>605</v>
      </c>
      <c r="B95" s="6" t="s">
        <v>606</v>
      </c>
      <c r="C95" s="7" t="s">
        <v>40</v>
      </c>
      <c r="D95" s="7" t="s">
        <v>41</v>
      </c>
      <c r="E95" s="6" t="s">
        <v>515</v>
      </c>
      <c r="F95" s="6" t="s">
        <v>43</v>
      </c>
      <c r="G95" s="6" t="s">
        <v>516</v>
      </c>
      <c r="I95" s="6" t="s">
        <v>45</v>
      </c>
      <c r="J95" s="6" t="s">
        <v>7</v>
      </c>
      <c r="N95" s="6" t="s">
        <v>367</v>
      </c>
      <c r="O95" s="6" t="s">
        <v>83</v>
      </c>
      <c r="P95" s="8" t="s">
        <v>597</v>
      </c>
      <c r="Q95" s="8" t="s">
        <v>607</v>
      </c>
      <c r="R95" s="8" t="s">
        <v>608</v>
      </c>
      <c r="S95" s="8" t="s">
        <v>608</v>
      </c>
      <c r="W95" s="18">
        <f t="shared" si="1"/>
        <v>3.023634259</v>
      </c>
      <c r="Y95" s="2" t="str">
        <f t="shared" si="2"/>
        <v>Complex</v>
      </c>
      <c r="Z95" s="2" t="str">
        <f t="shared" si="3"/>
        <v>Complex</v>
      </c>
      <c r="AI95" s="8" t="s">
        <v>360</v>
      </c>
      <c r="AK95" s="8" t="s">
        <v>360</v>
      </c>
      <c r="AL95" s="6">
        <v>2.0</v>
      </c>
    </row>
    <row r="96" ht="14.25" customHeight="1">
      <c r="A96" s="6" t="s">
        <v>609</v>
      </c>
      <c r="B96" s="6" t="s">
        <v>610</v>
      </c>
      <c r="C96" s="7" t="s">
        <v>40</v>
      </c>
      <c r="D96" s="7" t="s">
        <v>41</v>
      </c>
      <c r="E96" s="6" t="s">
        <v>515</v>
      </c>
      <c r="F96" s="6" t="s">
        <v>43</v>
      </c>
      <c r="G96" s="6" t="s">
        <v>516</v>
      </c>
      <c r="I96" s="6" t="s">
        <v>45</v>
      </c>
      <c r="J96" s="6" t="s">
        <v>7</v>
      </c>
      <c r="P96" s="8" t="s">
        <v>604</v>
      </c>
      <c r="Q96" s="8" t="s">
        <v>611</v>
      </c>
      <c r="R96" s="8" t="s">
        <v>611</v>
      </c>
      <c r="S96" s="8" t="s">
        <v>611</v>
      </c>
      <c r="W96" s="19">
        <f t="shared" si="1"/>
        <v>1.123171296</v>
      </c>
      <c r="Y96" s="2" t="str">
        <f t="shared" si="2"/>
        <v>Simple</v>
      </c>
      <c r="Z96" s="2" t="str">
        <f t="shared" si="3"/>
        <v>Simple</v>
      </c>
      <c r="AI96" s="8" t="s">
        <v>612</v>
      </c>
      <c r="AK96" s="8" t="s">
        <v>612</v>
      </c>
      <c r="AL96" s="6">
        <v>2.0</v>
      </c>
    </row>
    <row r="97" ht="14.25" customHeight="1">
      <c r="A97" s="6" t="s">
        <v>613</v>
      </c>
      <c r="B97" s="6" t="s">
        <v>614</v>
      </c>
      <c r="C97" s="7" t="s">
        <v>40</v>
      </c>
      <c r="D97" s="7" t="s">
        <v>41</v>
      </c>
      <c r="E97" s="6" t="s">
        <v>42</v>
      </c>
      <c r="F97" s="6" t="s">
        <v>43</v>
      </c>
      <c r="G97" s="6" t="s">
        <v>578</v>
      </c>
      <c r="I97" s="6" t="s">
        <v>45</v>
      </c>
      <c r="J97" s="6" t="s">
        <v>7</v>
      </c>
      <c r="P97" s="8" t="s">
        <v>612</v>
      </c>
      <c r="Q97" s="8" t="s">
        <v>615</v>
      </c>
      <c r="R97" s="8" t="s">
        <v>615</v>
      </c>
      <c r="S97" s="8" t="s">
        <v>615</v>
      </c>
      <c r="W97" s="19">
        <f t="shared" si="1"/>
        <v>4.104363426</v>
      </c>
      <c r="Y97" s="2" t="str">
        <f t="shared" si="2"/>
        <v>Complex</v>
      </c>
      <c r="Z97" s="2" t="str">
        <f t="shared" si="3"/>
        <v>Complex</v>
      </c>
      <c r="AI97" s="8" t="s">
        <v>616</v>
      </c>
      <c r="AK97" s="8" t="s">
        <v>616</v>
      </c>
      <c r="AL97" s="6">
        <v>2.0</v>
      </c>
    </row>
    <row r="98" ht="14.25" customHeight="1">
      <c r="A98" s="6" t="s">
        <v>617</v>
      </c>
      <c r="B98" s="6" t="s">
        <v>618</v>
      </c>
      <c r="C98" s="7" t="s">
        <v>40</v>
      </c>
      <c r="D98" s="7" t="s">
        <v>41</v>
      </c>
      <c r="E98" s="6" t="s">
        <v>141</v>
      </c>
      <c r="F98" s="6" t="s">
        <v>43</v>
      </c>
      <c r="G98" s="6" t="s">
        <v>142</v>
      </c>
      <c r="I98" s="6" t="s">
        <v>45</v>
      </c>
      <c r="J98" s="6" t="s">
        <v>7</v>
      </c>
      <c r="P98" s="8" t="s">
        <v>619</v>
      </c>
      <c r="Q98" s="8" t="s">
        <v>620</v>
      </c>
      <c r="R98" s="8" t="s">
        <v>620</v>
      </c>
      <c r="S98" s="8" t="s">
        <v>620</v>
      </c>
      <c r="W98" s="19">
        <f t="shared" si="1"/>
        <v>4.090462963</v>
      </c>
      <c r="Y98" s="2" t="str">
        <f t="shared" si="2"/>
        <v>Complex</v>
      </c>
      <c r="Z98" s="2" t="str">
        <f t="shared" si="3"/>
        <v>Complex</v>
      </c>
      <c r="AI98" s="8" t="s">
        <v>621</v>
      </c>
      <c r="AK98" s="8" t="s">
        <v>621</v>
      </c>
      <c r="AL98" s="6">
        <v>4.0</v>
      </c>
    </row>
    <row r="99" ht="14.25" customHeight="1">
      <c r="A99" s="6" t="s">
        <v>622</v>
      </c>
      <c r="B99" s="6" t="s">
        <v>47</v>
      </c>
      <c r="C99" s="7" t="s">
        <v>40</v>
      </c>
      <c r="D99" s="7" t="s">
        <v>41</v>
      </c>
      <c r="E99" s="6" t="s">
        <v>623</v>
      </c>
      <c r="F99" s="6" t="s">
        <v>43</v>
      </c>
      <c r="G99" s="6" t="s">
        <v>64</v>
      </c>
      <c r="H99" s="6" t="s">
        <v>295</v>
      </c>
      <c r="I99" s="6" t="s">
        <v>45</v>
      </c>
      <c r="J99" s="6" t="s">
        <v>7</v>
      </c>
      <c r="P99" s="8" t="s">
        <v>624</v>
      </c>
      <c r="Q99" s="8" t="s">
        <v>297</v>
      </c>
      <c r="R99" s="8" t="s">
        <v>625</v>
      </c>
      <c r="S99" s="8" t="s">
        <v>626</v>
      </c>
      <c r="W99" s="19">
        <f t="shared" si="1"/>
        <v>0.002280092594</v>
      </c>
      <c r="Y99" s="2" t="str">
        <f t="shared" si="2"/>
        <v>Simple</v>
      </c>
      <c r="Z99" s="2" t="str">
        <f t="shared" si="3"/>
        <v>Simple</v>
      </c>
      <c r="AI99" s="8" t="s">
        <v>627</v>
      </c>
      <c r="AK99" s="8" t="s">
        <v>627</v>
      </c>
      <c r="AL99" s="6">
        <v>2.0</v>
      </c>
    </row>
    <row r="100" ht="14.25" customHeight="1">
      <c r="A100" s="6" t="s">
        <v>628</v>
      </c>
      <c r="B100" s="6" t="s">
        <v>629</v>
      </c>
      <c r="C100" s="7" t="s">
        <v>40</v>
      </c>
      <c r="D100" s="7" t="s">
        <v>41</v>
      </c>
      <c r="E100" s="6" t="s">
        <v>141</v>
      </c>
      <c r="F100" s="6" t="s">
        <v>43</v>
      </c>
      <c r="G100" s="6" t="s">
        <v>142</v>
      </c>
      <c r="I100" s="6" t="s">
        <v>45</v>
      </c>
      <c r="J100" s="6" t="s">
        <v>7</v>
      </c>
      <c r="P100" s="8" t="s">
        <v>630</v>
      </c>
      <c r="Q100" s="8" t="s">
        <v>631</v>
      </c>
      <c r="R100" s="8" t="s">
        <v>632</v>
      </c>
      <c r="S100" s="8" t="s">
        <v>632</v>
      </c>
      <c r="W100" s="19">
        <f t="shared" si="1"/>
        <v>1.215648148</v>
      </c>
      <c r="Y100" s="2" t="str">
        <f t="shared" si="2"/>
        <v>Simple</v>
      </c>
      <c r="Z100" s="2" t="str">
        <f t="shared" si="3"/>
        <v>Simple</v>
      </c>
      <c r="AI100" s="8" t="s">
        <v>319</v>
      </c>
      <c r="AK100" s="8" t="s">
        <v>319</v>
      </c>
      <c r="AL100" s="6">
        <v>2.0</v>
      </c>
    </row>
    <row r="101" ht="14.25" customHeight="1">
      <c r="A101" s="6" t="s">
        <v>633</v>
      </c>
      <c r="B101" s="6" t="s">
        <v>634</v>
      </c>
      <c r="C101" s="7" t="s">
        <v>40</v>
      </c>
      <c r="D101" s="7" t="s">
        <v>41</v>
      </c>
      <c r="E101" s="6" t="s">
        <v>358</v>
      </c>
      <c r="F101" s="6" t="s">
        <v>43</v>
      </c>
      <c r="G101" s="6" t="s">
        <v>43</v>
      </c>
      <c r="H101" s="6" t="s">
        <v>295</v>
      </c>
      <c r="I101" s="6" t="s">
        <v>45</v>
      </c>
      <c r="J101" s="6" t="s">
        <v>7</v>
      </c>
      <c r="P101" s="8" t="s">
        <v>635</v>
      </c>
      <c r="Q101" s="8" t="s">
        <v>636</v>
      </c>
      <c r="R101" s="8" t="s">
        <v>636</v>
      </c>
      <c r="S101" s="8" t="s">
        <v>636</v>
      </c>
      <c r="W101" s="19">
        <f t="shared" si="1"/>
        <v>18.0287963</v>
      </c>
      <c r="Y101" s="20" t="str">
        <f t="shared" si="2"/>
        <v>Other</v>
      </c>
      <c r="Z101" s="20" t="str">
        <f t="shared" si="3"/>
        <v>Other</v>
      </c>
      <c r="AA101" s="7" t="s">
        <v>637</v>
      </c>
      <c r="AI101" s="8" t="s">
        <v>638</v>
      </c>
      <c r="AK101" s="8" t="s">
        <v>638</v>
      </c>
      <c r="AL101" s="6">
        <v>1.0</v>
      </c>
    </row>
    <row r="102" ht="14.25" customHeight="1">
      <c r="A102" s="6" t="s">
        <v>639</v>
      </c>
      <c r="B102" s="6" t="s">
        <v>640</v>
      </c>
      <c r="C102" s="7" t="s">
        <v>40</v>
      </c>
      <c r="D102" s="7" t="s">
        <v>326</v>
      </c>
      <c r="E102" s="6" t="s">
        <v>358</v>
      </c>
      <c r="F102" s="6" t="s">
        <v>43</v>
      </c>
      <c r="G102" s="6" t="s">
        <v>133</v>
      </c>
      <c r="H102" s="6" t="s">
        <v>295</v>
      </c>
      <c r="I102" s="6" t="s">
        <v>45</v>
      </c>
      <c r="J102" s="6" t="s">
        <v>7</v>
      </c>
      <c r="P102" s="8" t="s">
        <v>641</v>
      </c>
      <c r="Q102" s="8" t="s">
        <v>642</v>
      </c>
      <c r="R102" s="8" t="s">
        <v>643</v>
      </c>
      <c r="S102" s="8" t="s">
        <v>643</v>
      </c>
      <c r="W102" s="19">
        <f t="shared" si="1"/>
        <v>0.003240740742</v>
      </c>
      <c r="Y102" s="2" t="str">
        <f t="shared" si="2"/>
        <v>Simple</v>
      </c>
      <c r="Z102" s="2" t="str">
        <f t="shared" si="3"/>
        <v>Simple</v>
      </c>
      <c r="AI102" s="8" t="s">
        <v>641</v>
      </c>
      <c r="AK102" s="8" t="s">
        <v>641</v>
      </c>
      <c r="AL102" s="6">
        <v>6.0</v>
      </c>
    </row>
    <row r="103" ht="14.25" customHeight="1">
      <c r="A103" s="6" t="s">
        <v>644</v>
      </c>
      <c r="B103" s="6" t="s">
        <v>645</v>
      </c>
      <c r="C103" s="7" t="s">
        <v>40</v>
      </c>
      <c r="D103" s="7" t="s">
        <v>41</v>
      </c>
      <c r="E103" s="6" t="s">
        <v>231</v>
      </c>
      <c r="F103" s="6" t="s">
        <v>646</v>
      </c>
      <c r="G103" s="6" t="s">
        <v>646</v>
      </c>
      <c r="H103" s="6" t="s">
        <v>295</v>
      </c>
      <c r="I103" s="6" t="s">
        <v>647</v>
      </c>
      <c r="J103" s="6" t="s">
        <v>7</v>
      </c>
      <c r="P103" s="8" t="s">
        <v>648</v>
      </c>
      <c r="Q103" s="8" t="s">
        <v>649</v>
      </c>
      <c r="R103" s="8" t="s">
        <v>650</v>
      </c>
      <c r="S103" s="8" t="s">
        <v>650</v>
      </c>
      <c r="W103" s="19">
        <f t="shared" si="1"/>
        <v>0.004513888889</v>
      </c>
      <c r="Y103" s="2" t="str">
        <f t="shared" si="2"/>
        <v>Simple</v>
      </c>
      <c r="Z103" s="2" t="str">
        <f t="shared" si="3"/>
        <v>Simple</v>
      </c>
      <c r="AI103" s="8" t="s">
        <v>648</v>
      </c>
      <c r="AK103" s="8" t="s">
        <v>648</v>
      </c>
      <c r="AL103" s="6">
        <v>2.0</v>
      </c>
    </row>
    <row r="104" ht="14.25" customHeight="1">
      <c r="X104" s="2"/>
    </row>
    <row r="105" ht="14.25" customHeight="1">
      <c r="A105" s="21" t="s">
        <v>651</v>
      </c>
      <c r="X105" s="2"/>
    </row>
    <row r="106" ht="14.25" customHeight="1">
      <c r="X106" s="2"/>
    </row>
    <row r="107" ht="14.25" customHeight="1">
      <c r="X107" s="2"/>
    </row>
    <row r="108" ht="14.25" customHeight="1">
      <c r="X108" s="2"/>
    </row>
    <row r="109" ht="14.25" customHeight="1">
      <c r="X109" s="2"/>
    </row>
    <row r="110" ht="14.25" customHeight="1">
      <c r="X110" s="2"/>
    </row>
    <row r="111" ht="14.25" customHeight="1">
      <c r="X111" s="2"/>
    </row>
    <row r="112" ht="14.25" customHeight="1">
      <c r="X112" s="2"/>
    </row>
    <row r="113" ht="14.25" customHeight="1">
      <c r="X113" s="2"/>
    </row>
    <row r="114" ht="14.25" customHeight="1">
      <c r="X114" s="2"/>
    </row>
    <row r="115" ht="14.25" customHeight="1">
      <c r="X115" s="2"/>
    </row>
    <row r="116" ht="14.25" customHeight="1">
      <c r="X116" s="2"/>
    </row>
    <row r="117" ht="14.25" customHeight="1">
      <c r="X117" s="2"/>
    </row>
    <row r="118" ht="14.25" customHeight="1">
      <c r="X118" s="2"/>
    </row>
    <row r="119" ht="14.25" customHeight="1">
      <c r="X119" s="2"/>
    </row>
    <row r="120" ht="14.25" customHeight="1">
      <c r="X120" s="2"/>
    </row>
    <row r="121" ht="14.25" customHeight="1">
      <c r="X121" s="2"/>
    </row>
    <row r="122" ht="14.25" customHeight="1">
      <c r="X122" s="2"/>
    </row>
    <row r="123" ht="14.25" customHeight="1">
      <c r="X123" s="2"/>
    </row>
    <row r="124" ht="14.25" customHeight="1">
      <c r="X124" s="2"/>
    </row>
    <row r="125" ht="14.25" customHeight="1">
      <c r="X125" s="2"/>
    </row>
    <row r="126" ht="14.25" customHeight="1">
      <c r="X126" s="2"/>
    </row>
    <row r="127" ht="14.25" customHeight="1">
      <c r="X127" s="2"/>
    </row>
    <row r="128" ht="14.25" customHeight="1">
      <c r="X128" s="2"/>
    </row>
    <row r="129" ht="14.25" customHeight="1">
      <c r="X129" s="2"/>
    </row>
    <row r="130" ht="14.25" customHeight="1">
      <c r="X130" s="2"/>
    </row>
    <row r="131" ht="14.25" customHeight="1">
      <c r="X131" s="2"/>
    </row>
    <row r="132" ht="14.25" customHeight="1">
      <c r="X132" s="2"/>
    </row>
    <row r="133" ht="14.25" customHeight="1">
      <c r="X133" s="2"/>
    </row>
    <row r="134" ht="14.25" customHeight="1">
      <c r="X134" s="2"/>
    </row>
    <row r="135" ht="14.25" customHeight="1">
      <c r="X135" s="2"/>
    </row>
    <row r="136" ht="14.25" customHeight="1">
      <c r="X136" s="2"/>
    </row>
    <row r="137" ht="14.25" customHeight="1">
      <c r="X137" s="2"/>
    </row>
    <row r="138" ht="14.25" customHeight="1">
      <c r="X138" s="2"/>
    </row>
    <row r="139" ht="14.25" customHeight="1">
      <c r="X139" s="2"/>
    </row>
    <row r="140" ht="14.25" customHeight="1">
      <c r="X140" s="2"/>
    </row>
    <row r="141" ht="14.25" customHeight="1">
      <c r="X141" s="2"/>
    </row>
    <row r="142" ht="14.25" customHeight="1">
      <c r="X142" s="2"/>
    </row>
    <row r="143" ht="14.25" customHeight="1">
      <c r="X143" s="2"/>
    </row>
    <row r="144" ht="14.25" customHeight="1">
      <c r="X144" s="2"/>
    </row>
    <row r="145" ht="14.25" customHeight="1">
      <c r="X145" s="2"/>
    </row>
    <row r="146" ht="14.25" customHeight="1">
      <c r="X146" s="2"/>
    </row>
    <row r="147" ht="14.25" customHeight="1">
      <c r="X147" s="2"/>
    </row>
    <row r="148" ht="14.25" customHeight="1">
      <c r="X148" s="2"/>
    </row>
    <row r="149" ht="14.25" customHeight="1">
      <c r="X149" s="2"/>
    </row>
    <row r="150" ht="14.25" customHeight="1">
      <c r="X150" s="2"/>
    </row>
    <row r="151" ht="14.25" customHeight="1">
      <c r="X151" s="2"/>
    </row>
    <row r="152" ht="14.25" customHeight="1">
      <c r="X152" s="2"/>
    </row>
    <row r="153" ht="14.25" customHeight="1">
      <c r="X153" s="2"/>
    </row>
    <row r="154" ht="14.25" customHeight="1">
      <c r="X154" s="2"/>
    </row>
    <row r="155" ht="14.25" customHeight="1">
      <c r="X155" s="2"/>
    </row>
    <row r="156" ht="14.25" customHeight="1">
      <c r="X156" s="2"/>
    </row>
    <row r="157" ht="14.25" customHeight="1">
      <c r="X157" s="2"/>
    </row>
    <row r="158" ht="14.25" customHeight="1">
      <c r="X158" s="2"/>
    </row>
    <row r="159" ht="14.25" customHeight="1">
      <c r="X159" s="2"/>
    </row>
    <row r="160" ht="14.25" customHeight="1">
      <c r="X160" s="2"/>
    </row>
    <row r="161" ht="14.25" customHeight="1">
      <c r="X161" s="2"/>
    </row>
    <row r="162" ht="14.25" customHeight="1">
      <c r="X162" s="2"/>
    </row>
    <row r="163" ht="14.25" customHeight="1">
      <c r="X163" s="2"/>
    </row>
    <row r="164" ht="14.25" customHeight="1">
      <c r="X164" s="2"/>
    </row>
    <row r="165" ht="14.25" customHeight="1">
      <c r="X165" s="2"/>
    </row>
    <row r="166" ht="14.25" customHeight="1">
      <c r="X166" s="2"/>
    </row>
    <row r="167" ht="14.25" customHeight="1">
      <c r="X167" s="2"/>
    </row>
    <row r="168" ht="14.25" customHeight="1">
      <c r="X168" s="2"/>
    </row>
    <row r="169" ht="14.25" customHeight="1">
      <c r="X169" s="2"/>
    </row>
    <row r="170" ht="14.25" customHeight="1">
      <c r="X170" s="2"/>
    </row>
    <row r="171" ht="14.25" customHeight="1">
      <c r="X171" s="2"/>
    </row>
    <row r="172" ht="14.25" customHeight="1">
      <c r="X172" s="2"/>
    </row>
    <row r="173" ht="14.25" customHeight="1">
      <c r="X173" s="2"/>
    </row>
    <row r="174" ht="14.25" customHeight="1">
      <c r="X174" s="2"/>
    </row>
    <row r="175" ht="14.25" customHeight="1">
      <c r="X175" s="2"/>
    </row>
    <row r="176" ht="14.25" customHeight="1">
      <c r="X176" s="2"/>
    </row>
    <row r="177" ht="14.25" customHeight="1">
      <c r="X177" s="2"/>
    </row>
    <row r="178" ht="14.25" customHeight="1">
      <c r="X178" s="2"/>
    </row>
    <row r="179" ht="14.25" customHeight="1">
      <c r="X179" s="2"/>
    </row>
    <row r="180" ht="14.25" customHeight="1">
      <c r="X180" s="2"/>
    </row>
    <row r="181" ht="14.25" customHeight="1">
      <c r="X181" s="2"/>
    </row>
    <row r="182" ht="14.25" customHeight="1">
      <c r="X182" s="2"/>
    </row>
    <row r="183" ht="14.25" customHeight="1">
      <c r="X183" s="2"/>
    </row>
    <row r="184" ht="14.25" customHeight="1">
      <c r="X184" s="2"/>
    </row>
    <row r="185" ht="14.25" customHeight="1">
      <c r="X185" s="2"/>
    </row>
    <row r="186" ht="14.25" customHeight="1">
      <c r="X186" s="2"/>
    </row>
    <row r="187" ht="14.25" customHeight="1">
      <c r="X187" s="2"/>
    </row>
    <row r="188" ht="14.25" customHeight="1">
      <c r="X188" s="2"/>
    </row>
    <row r="189" ht="14.25" customHeight="1">
      <c r="X189" s="2"/>
    </row>
    <row r="190" ht="14.25" customHeight="1">
      <c r="X190" s="2"/>
    </row>
    <row r="191" ht="14.25" customHeight="1">
      <c r="X191" s="2"/>
    </row>
    <row r="192" ht="14.25" customHeight="1">
      <c r="X192" s="2"/>
    </row>
    <row r="193" ht="14.25" customHeight="1">
      <c r="X193" s="2"/>
    </row>
    <row r="194" ht="14.25" customHeight="1">
      <c r="X194" s="2"/>
    </row>
    <row r="195" ht="14.25" customHeight="1">
      <c r="X195" s="2"/>
    </row>
    <row r="196" ht="14.25" customHeight="1">
      <c r="X196" s="2"/>
    </row>
    <row r="197" ht="14.25" customHeight="1">
      <c r="X197" s="2"/>
    </row>
    <row r="198" ht="14.25" customHeight="1">
      <c r="X198" s="2"/>
    </row>
    <row r="199" ht="14.25" customHeight="1">
      <c r="X199" s="2"/>
    </row>
    <row r="200" ht="14.25" customHeight="1">
      <c r="X200" s="2"/>
    </row>
    <row r="201" ht="14.25" customHeight="1">
      <c r="X201" s="2"/>
    </row>
    <row r="202" ht="14.25" customHeight="1">
      <c r="X202" s="2"/>
    </row>
    <row r="203" ht="14.25" customHeight="1">
      <c r="X203" s="2"/>
    </row>
    <row r="204" ht="14.25" customHeight="1">
      <c r="X204" s="2"/>
    </row>
    <row r="205" ht="14.25" customHeight="1">
      <c r="X205" s="2"/>
    </row>
    <row r="206" ht="14.25" customHeight="1">
      <c r="X206" s="2"/>
    </row>
    <row r="207" ht="14.25" customHeight="1">
      <c r="X207" s="2"/>
    </row>
    <row r="208" ht="14.25" customHeight="1">
      <c r="X208" s="2"/>
    </row>
    <row r="209" ht="14.25" customHeight="1">
      <c r="X209" s="2"/>
    </row>
    <row r="210" ht="14.25" customHeight="1">
      <c r="X210" s="2"/>
    </row>
    <row r="211" ht="14.25" customHeight="1">
      <c r="X211" s="2"/>
    </row>
    <row r="212" ht="14.25" customHeight="1">
      <c r="X212" s="2"/>
    </row>
    <row r="213" ht="14.25" customHeight="1">
      <c r="X213" s="2"/>
    </row>
    <row r="214" ht="14.25" customHeight="1">
      <c r="X214" s="2"/>
    </row>
    <row r="215" ht="14.25" customHeight="1">
      <c r="X215" s="2"/>
    </row>
    <row r="216" ht="14.25" customHeight="1">
      <c r="X216" s="2"/>
    </row>
    <row r="217" ht="14.25" customHeight="1">
      <c r="X217" s="2"/>
    </row>
    <row r="218" ht="14.25" customHeight="1">
      <c r="X218" s="2"/>
    </row>
    <row r="219" ht="14.25" customHeight="1">
      <c r="X219" s="2"/>
    </row>
    <row r="220" ht="14.25" customHeight="1">
      <c r="X220" s="2"/>
    </row>
    <row r="221" ht="14.25" customHeight="1">
      <c r="X221" s="2"/>
    </row>
    <row r="222" ht="14.25" customHeight="1">
      <c r="X222" s="2"/>
    </row>
    <row r="223" ht="14.25" customHeight="1">
      <c r="X223" s="2"/>
    </row>
    <row r="224" ht="14.25" customHeight="1">
      <c r="X224" s="2"/>
    </row>
    <row r="225" ht="14.25" customHeight="1">
      <c r="X225" s="2"/>
    </row>
    <row r="226" ht="14.25" customHeight="1">
      <c r="X226" s="2"/>
    </row>
    <row r="227" ht="14.25" customHeight="1">
      <c r="X227" s="2"/>
    </row>
    <row r="228" ht="14.25" customHeight="1">
      <c r="X228" s="2"/>
    </row>
    <row r="229" ht="14.25" customHeight="1">
      <c r="X229" s="2"/>
    </row>
    <row r="230" ht="14.25" customHeight="1">
      <c r="X230" s="2"/>
    </row>
    <row r="231" ht="14.25" customHeight="1">
      <c r="X231" s="2"/>
    </row>
    <row r="232" ht="14.25" customHeight="1">
      <c r="X232" s="2"/>
    </row>
    <row r="233" ht="14.25" customHeight="1">
      <c r="X233" s="2"/>
    </row>
    <row r="234" ht="14.25" customHeight="1">
      <c r="X234" s="2"/>
    </row>
    <row r="235" ht="14.25" customHeight="1">
      <c r="X235" s="2"/>
    </row>
    <row r="236" ht="14.25" customHeight="1">
      <c r="X236" s="2"/>
    </row>
    <row r="237" ht="14.25" customHeight="1">
      <c r="X237" s="2"/>
    </row>
    <row r="238" ht="14.25" customHeight="1">
      <c r="X238" s="2"/>
    </row>
    <row r="239" ht="14.25" customHeight="1">
      <c r="X239" s="2"/>
    </row>
    <row r="240" ht="14.25" customHeight="1">
      <c r="X240" s="2"/>
    </row>
    <row r="241" ht="14.25" customHeight="1">
      <c r="X241" s="2"/>
    </row>
    <row r="242" ht="14.25" customHeight="1">
      <c r="X242" s="2"/>
    </row>
    <row r="243" ht="14.25" customHeight="1">
      <c r="X243" s="2"/>
    </row>
    <row r="244" ht="14.25" customHeight="1">
      <c r="X244" s="2"/>
    </row>
    <row r="245" ht="14.25" customHeight="1">
      <c r="X245" s="2"/>
    </row>
    <row r="246" ht="14.25" customHeight="1">
      <c r="X246" s="2"/>
    </row>
    <row r="247" ht="14.25" customHeight="1">
      <c r="X247" s="2"/>
    </row>
    <row r="248" ht="14.25" customHeight="1">
      <c r="X248" s="2"/>
    </row>
    <row r="249" ht="14.25" customHeight="1">
      <c r="X249" s="2"/>
    </row>
    <row r="250" ht="14.25" customHeight="1">
      <c r="X250" s="2"/>
    </row>
    <row r="251" ht="14.25" customHeight="1">
      <c r="X251" s="2"/>
    </row>
    <row r="252" ht="14.25" customHeight="1">
      <c r="X252" s="2"/>
    </row>
    <row r="253" ht="14.25" customHeight="1">
      <c r="X253" s="2"/>
    </row>
    <row r="254" ht="14.25" customHeight="1">
      <c r="X254" s="2"/>
    </row>
    <row r="255" ht="14.25" customHeight="1">
      <c r="X255" s="2"/>
    </row>
    <row r="256" ht="14.25" customHeight="1">
      <c r="X256" s="2"/>
    </row>
    <row r="257" ht="14.25" customHeight="1">
      <c r="X257" s="2"/>
    </row>
    <row r="258" ht="14.25" customHeight="1">
      <c r="X258" s="2"/>
    </row>
    <row r="259" ht="14.25" customHeight="1">
      <c r="X259" s="2"/>
    </row>
    <row r="260" ht="14.25" customHeight="1">
      <c r="X260" s="2"/>
    </row>
    <row r="261" ht="14.25" customHeight="1">
      <c r="X261" s="2"/>
    </row>
    <row r="262" ht="14.25" customHeight="1">
      <c r="X262" s="2"/>
    </row>
    <row r="263" ht="14.25" customHeight="1">
      <c r="X263" s="2"/>
    </row>
    <row r="264" ht="14.25" customHeight="1">
      <c r="X264" s="2"/>
    </row>
    <row r="265" ht="14.25" customHeight="1">
      <c r="X265" s="2"/>
    </row>
    <row r="266" ht="14.25" customHeight="1">
      <c r="X266" s="2"/>
    </row>
    <row r="267" ht="14.25" customHeight="1">
      <c r="X267" s="2"/>
    </row>
    <row r="268" ht="14.25" customHeight="1">
      <c r="X268" s="2"/>
    </row>
    <row r="269" ht="14.25" customHeight="1">
      <c r="X269" s="2"/>
    </row>
    <row r="270" ht="14.25" customHeight="1">
      <c r="X270" s="2"/>
    </row>
    <row r="271" ht="14.25" customHeight="1">
      <c r="X271" s="2"/>
    </row>
    <row r="272" ht="14.25" customHeight="1">
      <c r="X272" s="2"/>
    </row>
    <row r="273" ht="14.25" customHeight="1">
      <c r="X273" s="2"/>
    </row>
    <row r="274" ht="14.25" customHeight="1">
      <c r="X274" s="2"/>
    </row>
    <row r="275" ht="14.25" customHeight="1">
      <c r="X275" s="2"/>
    </row>
    <row r="276" ht="14.25" customHeight="1">
      <c r="X276" s="2"/>
    </row>
    <row r="277" ht="14.25" customHeight="1">
      <c r="X277" s="2"/>
    </row>
    <row r="278" ht="14.25" customHeight="1">
      <c r="X278" s="2"/>
    </row>
    <row r="279" ht="14.25" customHeight="1">
      <c r="X279" s="2"/>
    </row>
    <row r="280" ht="14.25" customHeight="1">
      <c r="X280" s="2"/>
    </row>
    <row r="281" ht="14.25" customHeight="1">
      <c r="X281" s="2"/>
    </row>
    <row r="282" ht="14.25" customHeight="1">
      <c r="X282" s="2"/>
    </row>
    <row r="283" ht="14.25" customHeight="1">
      <c r="X283" s="2"/>
    </row>
    <row r="284" ht="14.25" customHeight="1">
      <c r="X284" s="2"/>
    </row>
    <row r="285" ht="14.25" customHeight="1">
      <c r="X285" s="2"/>
    </row>
    <row r="286" ht="14.25" customHeight="1">
      <c r="X286" s="2"/>
    </row>
    <row r="287" ht="14.25" customHeight="1">
      <c r="X287" s="2"/>
    </row>
    <row r="288" ht="14.25" customHeight="1">
      <c r="X288" s="2"/>
    </row>
    <row r="289" ht="14.25" customHeight="1">
      <c r="X289" s="2"/>
    </row>
    <row r="290" ht="14.25" customHeight="1">
      <c r="X290" s="2"/>
    </row>
    <row r="291" ht="14.25" customHeight="1">
      <c r="X291" s="2"/>
    </row>
    <row r="292" ht="14.25" customHeight="1">
      <c r="X292" s="2"/>
    </row>
    <row r="293" ht="14.25" customHeight="1">
      <c r="X293" s="2"/>
    </row>
    <row r="294" ht="14.25" customHeight="1">
      <c r="X294" s="2"/>
    </row>
    <row r="295" ht="14.25" customHeight="1">
      <c r="X295" s="2"/>
    </row>
    <row r="296" ht="14.25" customHeight="1">
      <c r="X296" s="2"/>
    </row>
    <row r="297" ht="14.25" customHeight="1">
      <c r="X297" s="2"/>
    </row>
    <row r="298" ht="14.25" customHeight="1">
      <c r="X298" s="2"/>
    </row>
    <row r="299" ht="14.25" customHeight="1">
      <c r="X299" s="2"/>
    </row>
    <row r="300" ht="14.25" customHeight="1">
      <c r="X300" s="2"/>
    </row>
    <row r="301" ht="14.25" customHeight="1">
      <c r="X301" s="2"/>
    </row>
    <row r="302" ht="14.25" customHeight="1">
      <c r="X302" s="2"/>
    </row>
    <row r="303" ht="14.25" customHeight="1">
      <c r="X303" s="2"/>
    </row>
    <row r="304" ht="14.25" customHeight="1">
      <c r="X304" s="2"/>
    </row>
    <row r="305" ht="14.25" customHeight="1">
      <c r="X305" s="2"/>
    </row>
    <row r="306" ht="14.25" customHeight="1">
      <c r="X306" s="2"/>
    </row>
    <row r="307" ht="14.25" customHeight="1">
      <c r="X307" s="2"/>
    </row>
    <row r="308" ht="14.25" customHeight="1">
      <c r="X308" s="2"/>
    </row>
    <row r="309" ht="14.25" customHeight="1">
      <c r="X309" s="2"/>
    </row>
    <row r="310" ht="14.25" customHeight="1">
      <c r="X310" s="2"/>
    </row>
    <row r="311" ht="14.25" customHeight="1">
      <c r="X311" s="2"/>
    </row>
    <row r="312" ht="14.25" customHeight="1">
      <c r="X312" s="2"/>
    </row>
    <row r="313" ht="14.25" customHeight="1">
      <c r="X313" s="2"/>
    </row>
    <row r="314" ht="14.25" customHeight="1">
      <c r="X314" s="2"/>
    </row>
    <row r="315" ht="14.25" customHeight="1">
      <c r="X315" s="2"/>
    </row>
    <row r="316" ht="14.25" customHeight="1">
      <c r="X316" s="2"/>
    </row>
    <row r="317" ht="14.25" customHeight="1">
      <c r="X317" s="2"/>
    </row>
    <row r="318" ht="14.25" customHeight="1">
      <c r="X318" s="2"/>
    </row>
    <row r="319" ht="14.25" customHeight="1">
      <c r="X319" s="2"/>
    </row>
    <row r="320" ht="14.25" customHeight="1">
      <c r="X320" s="2"/>
    </row>
    <row r="321" ht="14.25" customHeight="1">
      <c r="X321" s="2"/>
    </row>
    <row r="322" ht="14.25" customHeight="1">
      <c r="X322" s="2"/>
    </row>
    <row r="323" ht="14.25" customHeight="1">
      <c r="X323" s="2"/>
    </row>
    <row r="324" ht="14.25" customHeight="1">
      <c r="X324" s="2"/>
    </row>
    <row r="325" ht="14.25" customHeight="1">
      <c r="X325" s="2"/>
    </row>
    <row r="326" ht="14.25" customHeight="1">
      <c r="X326" s="2"/>
    </row>
    <row r="327" ht="14.25" customHeight="1">
      <c r="X327" s="2"/>
    </row>
    <row r="328" ht="14.25" customHeight="1">
      <c r="X328" s="2"/>
    </row>
    <row r="329" ht="14.25" customHeight="1">
      <c r="X329" s="2"/>
    </row>
    <row r="330" ht="14.25" customHeight="1">
      <c r="X330" s="2"/>
    </row>
    <row r="331" ht="14.25" customHeight="1">
      <c r="X331" s="2"/>
    </row>
    <row r="332" ht="14.25" customHeight="1">
      <c r="X332" s="2"/>
    </row>
    <row r="333" ht="14.25" customHeight="1">
      <c r="X333" s="2"/>
    </row>
    <row r="334" ht="14.25" customHeight="1">
      <c r="X334" s="2"/>
    </row>
    <row r="335" ht="14.25" customHeight="1">
      <c r="X335" s="2"/>
    </row>
    <row r="336" ht="14.25" customHeight="1">
      <c r="X336" s="2"/>
    </row>
    <row r="337" ht="14.25" customHeight="1">
      <c r="X337" s="2"/>
    </row>
    <row r="338" ht="14.25" customHeight="1">
      <c r="X338" s="2"/>
    </row>
    <row r="339" ht="14.25" customHeight="1">
      <c r="X339" s="2"/>
    </row>
    <row r="340" ht="14.25" customHeight="1">
      <c r="X340" s="2"/>
    </row>
    <row r="341" ht="14.25" customHeight="1">
      <c r="X341" s="2"/>
    </row>
    <row r="342" ht="14.25" customHeight="1">
      <c r="X342" s="2"/>
    </row>
    <row r="343" ht="14.25" customHeight="1">
      <c r="X343" s="2"/>
    </row>
    <row r="344" ht="14.25" customHeight="1">
      <c r="X344" s="2"/>
    </row>
    <row r="345" ht="14.25" customHeight="1">
      <c r="X345" s="2"/>
    </row>
    <row r="346" ht="14.25" customHeight="1">
      <c r="X346" s="2"/>
    </row>
    <row r="347" ht="14.25" customHeight="1">
      <c r="X347" s="2"/>
    </row>
    <row r="348" ht="14.25" customHeight="1">
      <c r="X348" s="2"/>
    </row>
    <row r="349" ht="14.25" customHeight="1">
      <c r="X349" s="2"/>
    </row>
    <row r="350" ht="14.25" customHeight="1">
      <c r="X350" s="2"/>
    </row>
    <row r="351" ht="14.25" customHeight="1">
      <c r="X351" s="2"/>
    </row>
    <row r="352" ht="14.25" customHeight="1">
      <c r="X352" s="2"/>
    </row>
    <row r="353" ht="14.25" customHeight="1">
      <c r="X353" s="2"/>
    </row>
    <row r="354" ht="14.25" customHeight="1">
      <c r="X354" s="2"/>
    </row>
    <row r="355" ht="14.25" customHeight="1">
      <c r="X355" s="2"/>
    </row>
    <row r="356" ht="14.25" customHeight="1">
      <c r="X356" s="2"/>
    </row>
    <row r="357" ht="14.25" customHeight="1">
      <c r="X357" s="2"/>
    </row>
    <row r="358" ht="14.25" customHeight="1">
      <c r="X358" s="2"/>
    </row>
    <row r="359" ht="14.25" customHeight="1">
      <c r="X359" s="2"/>
    </row>
    <row r="360" ht="14.25" customHeight="1">
      <c r="X360" s="2"/>
    </row>
    <row r="361" ht="14.25" customHeight="1">
      <c r="X361" s="2"/>
    </row>
    <row r="362" ht="14.25" customHeight="1">
      <c r="X362" s="2"/>
    </row>
    <row r="363" ht="14.25" customHeight="1">
      <c r="X363" s="2"/>
    </row>
    <row r="364" ht="14.25" customHeight="1">
      <c r="X364" s="2"/>
    </row>
    <row r="365" ht="14.25" customHeight="1">
      <c r="X365" s="2"/>
    </row>
    <row r="366" ht="14.25" customHeight="1">
      <c r="X366" s="2"/>
    </row>
    <row r="367" ht="14.25" customHeight="1">
      <c r="X367" s="2"/>
    </row>
    <row r="368" ht="14.25" customHeight="1">
      <c r="X368" s="2"/>
    </row>
    <row r="369" ht="14.25" customHeight="1">
      <c r="X369" s="2"/>
    </row>
    <row r="370" ht="14.25" customHeight="1">
      <c r="X370" s="2"/>
    </row>
    <row r="371" ht="14.25" customHeight="1">
      <c r="X371" s="2"/>
    </row>
    <row r="372" ht="14.25" customHeight="1">
      <c r="X372" s="2"/>
    </row>
    <row r="373" ht="14.25" customHeight="1">
      <c r="X373" s="2"/>
    </row>
    <row r="374" ht="14.25" customHeight="1">
      <c r="X374" s="2"/>
    </row>
    <row r="375" ht="14.25" customHeight="1">
      <c r="X375" s="2"/>
    </row>
    <row r="376" ht="14.25" customHeight="1">
      <c r="X376" s="2"/>
    </row>
    <row r="377" ht="14.25" customHeight="1">
      <c r="X377" s="2"/>
    </row>
    <row r="378" ht="14.25" customHeight="1">
      <c r="X378" s="2"/>
    </row>
    <row r="379" ht="14.25" customHeight="1">
      <c r="X379" s="2"/>
    </row>
    <row r="380" ht="14.25" customHeight="1">
      <c r="X380" s="2"/>
    </row>
    <row r="381" ht="14.25" customHeight="1">
      <c r="X381" s="2"/>
    </row>
    <row r="382" ht="14.25" customHeight="1">
      <c r="X382" s="2"/>
    </row>
    <row r="383" ht="14.25" customHeight="1">
      <c r="X383" s="2"/>
    </row>
    <row r="384" ht="14.25" customHeight="1">
      <c r="X384" s="2"/>
    </row>
    <row r="385" ht="14.25" customHeight="1">
      <c r="X385" s="2"/>
    </row>
    <row r="386" ht="14.25" customHeight="1">
      <c r="X386" s="2"/>
    </row>
    <row r="387" ht="14.25" customHeight="1">
      <c r="X387" s="2"/>
    </row>
    <row r="388" ht="14.25" customHeight="1">
      <c r="X388" s="2"/>
    </row>
    <row r="389" ht="14.25" customHeight="1">
      <c r="X389" s="2"/>
    </row>
    <row r="390" ht="14.25" customHeight="1">
      <c r="X390" s="2"/>
    </row>
    <row r="391" ht="14.25" customHeight="1">
      <c r="X391" s="2"/>
    </row>
    <row r="392" ht="14.25" customHeight="1">
      <c r="X392" s="2"/>
    </row>
    <row r="393" ht="14.25" customHeight="1">
      <c r="X393" s="2"/>
    </row>
    <row r="394" ht="14.25" customHeight="1">
      <c r="X394" s="2"/>
    </row>
    <row r="395" ht="14.25" customHeight="1">
      <c r="X395" s="2"/>
    </row>
    <row r="396" ht="14.25" customHeight="1">
      <c r="X396" s="2"/>
    </row>
    <row r="397" ht="14.25" customHeight="1">
      <c r="X397" s="2"/>
    </row>
    <row r="398" ht="14.25" customHeight="1">
      <c r="X398" s="2"/>
    </row>
    <row r="399" ht="14.25" customHeight="1">
      <c r="X399" s="2"/>
    </row>
    <row r="400" ht="14.25" customHeight="1">
      <c r="X400" s="2"/>
    </row>
    <row r="401" ht="14.25" customHeight="1">
      <c r="X401" s="2"/>
    </row>
    <row r="402" ht="14.25" customHeight="1">
      <c r="X402" s="2"/>
    </row>
    <row r="403" ht="14.25" customHeight="1">
      <c r="X403" s="2"/>
    </row>
    <row r="404" ht="14.25" customHeight="1">
      <c r="X404" s="2"/>
    </row>
    <row r="405" ht="14.25" customHeight="1">
      <c r="X405" s="2"/>
    </row>
    <row r="406" ht="14.25" customHeight="1">
      <c r="X406" s="2"/>
    </row>
    <row r="407" ht="14.25" customHeight="1">
      <c r="X407" s="2"/>
    </row>
    <row r="408" ht="14.25" customHeight="1">
      <c r="X408" s="2"/>
    </row>
    <row r="409" ht="14.25" customHeight="1">
      <c r="X409" s="2"/>
    </row>
    <row r="410" ht="14.25" customHeight="1">
      <c r="X410" s="2"/>
    </row>
    <row r="411" ht="14.25" customHeight="1">
      <c r="X411" s="2"/>
    </row>
    <row r="412" ht="14.25" customHeight="1">
      <c r="X412" s="2"/>
    </row>
    <row r="413" ht="14.25" customHeight="1">
      <c r="X413" s="2"/>
    </row>
    <row r="414" ht="14.25" customHeight="1">
      <c r="X414" s="2"/>
    </row>
    <row r="415" ht="14.25" customHeight="1">
      <c r="X415" s="2"/>
    </row>
    <row r="416" ht="14.25" customHeight="1">
      <c r="X416" s="2"/>
    </row>
    <row r="417" ht="14.25" customHeight="1">
      <c r="X417" s="2"/>
    </row>
    <row r="418" ht="14.25" customHeight="1">
      <c r="X418" s="2"/>
    </row>
    <row r="419" ht="14.25" customHeight="1">
      <c r="X419" s="2"/>
    </row>
    <row r="420" ht="14.25" customHeight="1">
      <c r="X420" s="2"/>
    </row>
    <row r="421" ht="14.25" customHeight="1">
      <c r="X421" s="2"/>
    </row>
    <row r="422" ht="14.25" customHeight="1">
      <c r="X422" s="2"/>
    </row>
    <row r="423" ht="14.25" customHeight="1">
      <c r="X423" s="2"/>
    </row>
    <row r="424" ht="14.25" customHeight="1">
      <c r="X424" s="2"/>
    </row>
    <row r="425" ht="14.25" customHeight="1">
      <c r="X425" s="2"/>
    </row>
    <row r="426" ht="14.25" customHeight="1">
      <c r="X426" s="2"/>
    </row>
    <row r="427" ht="14.25" customHeight="1">
      <c r="X427" s="2"/>
    </row>
    <row r="428" ht="14.25" customHeight="1">
      <c r="X428" s="2"/>
    </row>
    <row r="429" ht="14.25" customHeight="1">
      <c r="X429" s="2"/>
    </row>
    <row r="430" ht="14.25" customHeight="1">
      <c r="X430" s="2"/>
    </row>
    <row r="431" ht="14.25" customHeight="1">
      <c r="X431" s="2"/>
    </row>
    <row r="432" ht="14.25" customHeight="1">
      <c r="X432" s="2"/>
    </row>
    <row r="433" ht="14.25" customHeight="1">
      <c r="X433" s="2"/>
    </row>
    <row r="434" ht="14.25" customHeight="1">
      <c r="X434" s="2"/>
    </row>
    <row r="435" ht="14.25" customHeight="1">
      <c r="X435" s="2"/>
    </row>
    <row r="436" ht="14.25" customHeight="1">
      <c r="X436" s="2"/>
    </row>
    <row r="437" ht="14.25" customHeight="1">
      <c r="X437" s="2"/>
    </row>
    <row r="438" ht="14.25" customHeight="1">
      <c r="X438" s="2"/>
    </row>
    <row r="439" ht="14.25" customHeight="1">
      <c r="X439" s="2"/>
    </row>
    <row r="440" ht="14.25" customHeight="1">
      <c r="X440" s="2"/>
    </row>
    <row r="441" ht="14.25" customHeight="1">
      <c r="X441" s="2"/>
    </row>
    <row r="442" ht="14.25" customHeight="1">
      <c r="X442" s="2"/>
    </row>
    <row r="443" ht="14.25" customHeight="1">
      <c r="X443" s="2"/>
    </row>
    <row r="444" ht="14.25" customHeight="1">
      <c r="X444" s="2"/>
    </row>
    <row r="445" ht="14.25" customHeight="1">
      <c r="X445" s="2"/>
    </row>
    <row r="446" ht="14.25" customHeight="1">
      <c r="X446" s="2"/>
    </row>
    <row r="447" ht="14.25" customHeight="1">
      <c r="X447" s="2"/>
    </row>
    <row r="448" ht="14.25" customHeight="1">
      <c r="X448" s="2"/>
    </row>
    <row r="449" ht="14.25" customHeight="1">
      <c r="X449" s="2"/>
    </row>
    <row r="450" ht="14.25" customHeight="1">
      <c r="X450" s="2"/>
    </row>
    <row r="451" ht="14.25" customHeight="1">
      <c r="X451" s="2"/>
    </row>
    <row r="452" ht="14.25" customHeight="1">
      <c r="X452" s="2"/>
    </row>
    <row r="453" ht="14.25" customHeight="1">
      <c r="X453" s="2"/>
    </row>
    <row r="454" ht="14.25" customHeight="1">
      <c r="X454" s="2"/>
    </row>
    <row r="455" ht="14.25" customHeight="1">
      <c r="X455" s="2"/>
    </row>
    <row r="456" ht="14.25" customHeight="1">
      <c r="X456" s="2"/>
    </row>
    <row r="457" ht="14.25" customHeight="1">
      <c r="X457" s="2"/>
    </row>
    <row r="458" ht="14.25" customHeight="1">
      <c r="X458" s="2"/>
    </row>
    <row r="459" ht="14.25" customHeight="1">
      <c r="X459" s="2"/>
    </row>
    <row r="460" ht="14.25" customHeight="1">
      <c r="X460" s="2"/>
    </row>
    <row r="461" ht="14.25" customHeight="1">
      <c r="X461" s="2"/>
    </row>
    <row r="462" ht="14.25" customHeight="1">
      <c r="X462" s="2"/>
    </row>
    <row r="463" ht="14.25" customHeight="1">
      <c r="X463" s="2"/>
    </row>
    <row r="464" ht="14.25" customHeight="1">
      <c r="X464" s="2"/>
    </row>
    <row r="465" ht="14.25" customHeight="1">
      <c r="X465" s="2"/>
    </row>
    <row r="466" ht="14.25" customHeight="1">
      <c r="X466" s="2"/>
    </row>
    <row r="467" ht="14.25" customHeight="1">
      <c r="X467" s="2"/>
    </row>
    <row r="468" ht="14.25" customHeight="1">
      <c r="X468" s="2"/>
    </row>
    <row r="469" ht="14.25" customHeight="1">
      <c r="X469" s="2"/>
    </row>
    <row r="470" ht="14.25" customHeight="1">
      <c r="X470" s="2"/>
    </row>
    <row r="471" ht="14.25" customHeight="1">
      <c r="X471" s="2"/>
    </row>
    <row r="472" ht="14.25" customHeight="1">
      <c r="X472" s="2"/>
    </row>
    <row r="473" ht="14.25" customHeight="1">
      <c r="X473" s="2"/>
    </row>
    <row r="474" ht="14.25" customHeight="1">
      <c r="X474" s="2"/>
    </row>
    <row r="475" ht="14.25" customHeight="1">
      <c r="X475" s="2"/>
    </row>
    <row r="476" ht="14.25" customHeight="1">
      <c r="X476" s="2"/>
    </row>
    <row r="477" ht="14.25" customHeight="1">
      <c r="X477" s="2"/>
    </row>
    <row r="478" ht="14.25" customHeight="1">
      <c r="X478" s="2"/>
    </row>
    <row r="479" ht="14.25" customHeight="1">
      <c r="X479" s="2"/>
    </row>
    <row r="480" ht="14.25" customHeight="1">
      <c r="X480" s="2"/>
    </row>
    <row r="481" ht="14.25" customHeight="1">
      <c r="X481" s="2"/>
    </row>
    <row r="482" ht="14.25" customHeight="1">
      <c r="X482" s="2"/>
    </row>
    <row r="483" ht="14.25" customHeight="1">
      <c r="X483" s="2"/>
    </row>
    <row r="484" ht="14.25" customHeight="1">
      <c r="X484" s="2"/>
    </row>
    <row r="485" ht="14.25" customHeight="1">
      <c r="X485" s="2"/>
    </row>
    <row r="486" ht="14.25" customHeight="1">
      <c r="X486" s="2"/>
    </row>
    <row r="487" ht="14.25" customHeight="1">
      <c r="X487" s="2"/>
    </row>
    <row r="488" ht="14.25" customHeight="1">
      <c r="X488" s="2"/>
    </row>
    <row r="489" ht="14.25" customHeight="1">
      <c r="X489" s="2"/>
    </row>
    <row r="490" ht="14.25" customHeight="1">
      <c r="X490" s="2"/>
    </row>
    <row r="491" ht="14.25" customHeight="1">
      <c r="X491" s="2"/>
    </row>
    <row r="492" ht="14.25" customHeight="1">
      <c r="X492" s="2"/>
    </row>
    <row r="493" ht="14.25" customHeight="1">
      <c r="X493" s="2"/>
    </row>
    <row r="494" ht="14.25" customHeight="1">
      <c r="X494" s="2"/>
    </row>
    <row r="495" ht="14.25" customHeight="1">
      <c r="X495" s="2"/>
    </row>
    <row r="496" ht="14.25" customHeight="1">
      <c r="X496" s="2"/>
    </row>
    <row r="497" ht="14.25" customHeight="1">
      <c r="X497" s="2"/>
    </row>
    <row r="498" ht="14.25" customHeight="1">
      <c r="X498" s="2"/>
    </row>
    <row r="499" ht="14.25" customHeight="1">
      <c r="X499" s="2"/>
    </row>
    <row r="500" ht="14.25" customHeight="1">
      <c r="X500" s="2"/>
    </row>
    <row r="501" ht="14.25" customHeight="1">
      <c r="X501" s="2"/>
    </row>
    <row r="502" ht="14.25" customHeight="1">
      <c r="X502" s="2"/>
    </row>
    <row r="503" ht="14.25" customHeight="1">
      <c r="X503" s="2"/>
    </row>
    <row r="504" ht="14.25" customHeight="1">
      <c r="X504" s="2"/>
    </row>
    <row r="505" ht="14.25" customHeight="1">
      <c r="X505" s="2"/>
    </row>
    <row r="506" ht="14.25" customHeight="1">
      <c r="X506" s="2"/>
    </row>
    <row r="507" ht="14.25" customHeight="1">
      <c r="X507" s="2"/>
    </row>
    <row r="508" ht="14.25" customHeight="1">
      <c r="X508" s="2"/>
    </row>
    <row r="509" ht="14.25" customHeight="1">
      <c r="X509" s="2"/>
    </row>
    <row r="510" ht="14.25" customHeight="1">
      <c r="X510" s="2"/>
    </row>
    <row r="511" ht="14.25" customHeight="1">
      <c r="X511" s="2"/>
    </row>
    <row r="512" ht="14.25" customHeight="1">
      <c r="X512" s="2"/>
    </row>
    <row r="513" ht="14.25" customHeight="1">
      <c r="X513" s="2"/>
    </row>
    <row r="514" ht="14.25" customHeight="1">
      <c r="X514" s="2"/>
    </row>
    <row r="515" ht="14.25" customHeight="1">
      <c r="X515" s="2"/>
    </row>
    <row r="516" ht="14.25" customHeight="1">
      <c r="X516" s="2"/>
    </row>
    <row r="517" ht="14.25" customHeight="1">
      <c r="X517" s="2"/>
    </row>
    <row r="518" ht="14.25" customHeight="1">
      <c r="X518" s="2"/>
    </row>
    <row r="519" ht="14.25" customHeight="1">
      <c r="X519" s="2"/>
    </row>
    <row r="520" ht="14.25" customHeight="1">
      <c r="X520" s="2"/>
    </row>
    <row r="521" ht="14.25" customHeight="1">
      <c r="X521" s="2"/>
    </row>
    <row r="522" ht="14.25" customHeight="1">
      <c r="X522" s="2"/>
    </row>
    <row r="523" ht="14.25" customHeight="1">
      <c r="X523" s="2"/>
    </row>
    <row r="524" ht="14.25" customHeight="1">
      <c r="X524" s="2"/>
    </row>
    <row r="525" ht="14.25" customHeight="1">
      <c r="X525" s="2"/>
    </row>
    <row r="526" ht="14.25" customHeight="1">
      <c r="X526" s="2"/>
    </row>
    <row r="527" ht="14.25" customHeight="1">
      <c r="X527" s="2"/>
    </row>
    <row r="528" ht="14.25" customHeight="1">
      <c r="X528" s="2"/>
    </row>
    <row r="529" ht="14.25" customHeight="1">
      <c r="X529" s="2"/>
    </row>
    <row r="530" ht="14.25" customHeight="1">
      <c r="X530" s="2"/>
    </row>
    <row r="531" ht="14.25" customHeight="1">
      <c r="X531" s="2"/>
    </row>
    <row r="532" ht="14.25" customHeight="1">
      <c r="X532" s="2"/>
    </row>
    <row r="533" ht="14.25" customHeight="1">
      <c r="X533" s="2"/>
    </row>
    <row r="534" ht="14.25" customHeight="1">
      <c r="X534" s="2"/>
    </row>
    <row r="535" ht="14.25" customHeight="1">
      <c r="X535" s="2"/>
    </row>
    <row r="536" ht="14.25" customHeight="1">
      <c r="X536" s="2"/>
    </row>
    <row r="537" ht="14.25" customHeight="1">
      <c r="X537" s="2"/>
    </row>
    <row r="538" ht="14.25" customHeight="1">
      <c r="X538" s="2"/>
    </row>
    <row r="539" ht="14.25" customHeight="1">
      <c r="X539" s="2"/>
    </row>
    <row r="540" ht="14.25" customHeight="1">
      <c r="X540" s="2"/>
    </row>
    <row r="541" ht="14.25" customHeight="1">
      <c r="X541" s="2"/>
    </row>
    <row r="542" ht="14.25" customHeight="1">
      <c r="X542" s="2"/>
    </row>
    <row r="543" ht="14.25" customHeight="1">
      <c r="X543" s="2"/>
    </row>
    <row r="544" ht="14.25" customHeight="1">
      <c r="X544" s="2"/>
    </row>
    <row r="545" ht="14.25" customHeight="1">
      <c r="X545" s="2"/>
    </row>
    <row r="546" ht="14.25" customHeight="1">
      <c r="X546" s="2"/>
    </row>
    <row r="547" ht="14.25" customHeight="1">
      <c r="X547" s="2"/>
    </row>
    <row r="548" ht="14.25" customHeight="1">
      <c r="X548" s="2"/>
    </row>
    <row r="549" ht="14.25" customHeight="1">
      <c r="X549" s="2"/>
    </row>
    <row r="550" ht="14.25" customHeight="1">
      <c r="X550" s="2"/>
    </row>
    <row r="551" ht="14.25" customHeight="1">
      <c r="X551" s="2"/>
    </row>
    <row r="552" ht="14.25" customHeight="1">
      <c r="X552" s="2"/>
    </row>
    <row r="553" ht="14.25" customHeight="1">
      <c r="X553" s="2"/>
    </row>
    <row r="554" ht="14.25" customHeight="1">
      <c r="X554" s="2"/>
    </row>
    <row r="555" ht="14.25" customHeight="1">
      <c r="X555" s="2"/>
    </row>
    <row r="556" ht="14.25" customHeight="1">
      <c r="X556" s="2"/>
    </row>
    <row r="557" ht="14.25" customHeight="1">
      <c r="X557" s="2"/>
    </row>
    <row r="558" ht="14.25" customHeight="1">
      <c r="X558" s="2"/>
    </row>
    <row r="559" ht="14.25" customHeight="1">
      <c r="X559" s="2"/>
    </row>
    <row r="560" ht="14.25" customHeight="1">
      <c r="X560" s="2"/>
    </row>
    <row r="561" ht="14.25" customHeight="1">
      <c r="X561" s="2"/>
    </row>
    <row r="562" ht="14.25" customHeight="1">
      <c r="X562" s="2"/>
    </row>
    <row r="563" ht="14.25" customHeight="1">
      <c r="X563" s="2"/>
    </row>
    <row r="564" ht="14.25" customHeight="1">
      <c r="X564" s="2"/>
    </row>
    <row r="565" ht="14.25" customHeight="1">
      <c r="X565" s="2"/>
    </row>
    <row r="566" ht="14.25" customHeight="1">
      <c r="X566" s="2"/>
    </row>
    <row r="567" ht="14.25" customHeight="1">
      <c r="X567" s="2"/>
    </row>
    <row r="568" ht="14.25" customHeight="1">
      <c r="X568" s="2"/>
    </row>
    <row r="569" ht="14.25" customHeight="1">
      <c r="X569" s="2"/>
    </row>
    <row r="570" ht="14.25" customHeight="1">
      <c r="X570" s="2"/>
    </row>
    <row r="571" ht="14.25" customHeight="1">
      <c r="X571" s="2"/>
    </row>
    <row r="572" ht="14.25" customHeight="1">
      <c r="X572" s="2"/>
    </row>
    <row r="573" ht="14.25" customHeight="1">
      <c r="X573" s="2"/>
    </row>
    <row r="574" ht="14.25" customHeight="1">
      <c r="X574" s="2"/>
    </row>
    <row r="575" ht="14.25" customHeight="1">
      <c r="X575" s="2"/>
    </row>
    <row r="576" ht="14.25" customHeight="1">
      <c r="X576" s="2"/>
    </row>
    <row r="577" ht="14.25" customHeight="1">
      <c r="X577" s="2"/>
    </row>
    <row r="578" ht="14.25" customHeight="1">
      <c r="X578" s="2"/>
    </row>
    <row r="579" ht="14.25" customHeight="1">
      <c r="X579" s="2"/>
    </row>
    <row r="580" ht="14.25" customHeight="1">
      <c r="X580" s="2"/>
    </row>
    <row r="581" ht="14.25" customHeight="1">
      <c r="X581" s="2"/>
    </row>
    <row r="582" ht="14.25" customHeight="1">
      <c r="X582" s="2"/>
    </row>
    <row r="583" ht="14.25" customHeight="1">
      <c r="X583" s="2"/>
    </row>
    <row r="584" ht="14.25" customHeight="1">
      <c r="X584" s="2"/>
    </row>
    <row r="585" ht="14.25" customHeight="1">
      <c r="X585" s="2"/>
    </row>
    <row r="586" ht="14.25" customHeight="1">
      <c r="X586" s="2"/>
    </row>
    <row r="587" ht="14.25" customHeight="1">
      <c r="X587" s="2"/>
    </row>
    <row r="588" ht="14.25" customHeight="1">
      <c r="X588" s="2"/>
    </row>
    <row r="589" ht="14.25" customHeight="1">
      <c r="X589" s="2"/>
    </row>
    <row r="590" ht="14.25" customHeight="1">
      <c r="X590" s="2"/>
    </row>
    <row r="591" ht="14.25" customHeight="1">
      <c r="X591" s="2"/>
    </row>
    <row r="592" ht="14.25" customHeight="1">
      <c r="X592" s="2"/>
    </row>
    <row r="593" ht="14.25" customHeight="1">
      <c r="X593" s="2"/>
    </row>
    <row r="594" ht="14.25" customHeight="1">
      <c r="X594" s="2"/>
    </row>
    <row r="595" ht="14.25" customHeight="1">
      <c r="X595" s="2"/>
    </row>
    <row r="596" ht="14.25" customHeight="1">
      <c r="X596" s="2"/>
    </row>
    <row r="597" ht="14.25" customHeight="1">
      <c r="X597" s="2"/>
    </row>
    <row r="598" ht="14.25" customHeight="1">
      <c r="X598" s="2"/>
    </row>
    <row r="599" ht="14.25" customHeight="1">
      <c r="X599" s="2"/>
    </row>
    <row r="600" ht="14.25" customHeight="1">
      <c r="X600" s="2"/>
    </row>
    <row r="601" ht="14.25" customHeight="1">
      <c r="X601" s="2"/>
    </row>
    <row r="602" ht="14.25" customHeight="1">
      <c r="X602" s="2"/>
    </row>
    <row r="603" ht="14.25" customHeight="1">
      <c r="X603" s="2"/>
    </row>
    <row r="604" ht="14.25" customHeight="1">
      <c r="X604" s="2"/>
    </row>
    <row r="605" ht="14.25" customHeight="1">
      <c r="X605" s="2"/>
    </row>
    <row r="606" ht="14.25" customHeight="1">
      <c r="X606" s="2"/>
    </row>
    <row r="607" ht="14.25" customHeight="1">
      <c r="X607" s="2"/>
    </row>
    <row r="608" ht="14.25" customHeight="1">
      <c r="X608" s="2"/>
    </row>
    <row r="609" ht="14.25" customHeight="1">
      <c r="X609" s="2"/>
    </row>
    <row r="610" ht="14.25" customHeight="1">
      <c r="X610" s="2"/>
    </row>
    <row r="611" ht="14.25" customHeight="1">
      <c r="X611" s="2"/>
    </row>
    <row r="612" ht="14.25" customHeight="1">
      <c r="X612" s="2"/>
    </row>
    <row r="613" ht="14.25" customHeight="1">
      <c r="X613" s="2"/>
    </row>
    <row r="614" ht="14.25" customHeight="1">
      <c r="X614" s="2"/>
    </row>
    <row r="615" ht="14.25" customHeight="1">
      <c r="X615" s="2"/>
    </row>
    <row r="616" ht="14.25" customHeight="1">
      <c r="X616" s="2"/>
    </row>
    <row r="617" ht="14.25" customHeight="1">
      <c r="X617" s="2"/>
    </row>
    <row r="618" ht="14.25" customHeight="1">
      <c r="X618" s="2"/>
    </row>
    <row r="619" ht="14.25" customHeight="1">
      <c r="X619" s="2"/>
    </row>
    <row r="620" ht="14.25" customHeight="1">
      <c r="X620" s="2"/>
    </row>
    <row r="621" ht="14.25" customHeight="1">
      <c r="X621" s="2"/>
    </row>
    <row r="622" ht="14.25" customHeight="1">
      <c r="X622" s="2"/>
    </row>
    <row r="623" ht="14.25" customHeight="1">
      <c r="X623" s="2"/>
    </row>
    <row r="624" ht="14.25" customHeight="1">
      <c r="X624" s="2"/>
    </row>
    <row r="625" ht="14.25" customHeight="1">
      <c r="X625" s="2"/>
    </row>
    <row r="626" ht="14.25" customHeight="1">
      <c r="X626" s="2"/>
    </row>
    <row r="627" ht="14.25" customHeight="1">
      <c r="X627" s="2"/>
    </row>
    <row r="628" ht="14.25" customHeight="1">
      <c r="X628" s="2"/>
    </row>
    <row r="629" ht="14.25" customHeight="1">
      <c r="X629" s="2"/>
    </row>
    <row r="630" ht="14.25" customHeight="1">
      <c r="X630" s="2"/>
    </row>
    <row r="631" ht="14.25" customHeight="1">
      <c r="X631" s="2"/>
    </row>
    <row r="632" ht="14.25" customHeight="1">
      <c r="X632" s="2"/>
    </row>
    <row r="633" ht="14.25" customHeight="1">
      <c r="X633" s="2"/>
    </row>
    <row r="634" ht="14.25" customHeight="1">
      <c r="X634" s="2"/>
    </row>
    <row r="635" ht="14.25" customHeight="1">
      <c r="X635" s="2"/>
    </row>
    <row r="636" ht="14.25" customHeight="1">
      <c r="X636" s="2"/>
    </row>
    <row r="637" ht="14.25" customHeight="1">
      <c r="X637" s="2"/>
    </row>
    <row r="638" ht="14.25" customHeight="1">
      <c r="X638" s="2"/>
    </row>
    <row r="639" ht="14.25" customHeight="1">
      <c r="X639" s="2"/>
    </row>
    <row r="640" ht="14.25" customHeight="1">
      <c r="X640" s="2"/>
    </row>
    <row r="641" ht="14.25" customHeight="1">
      <c r="X641" s="2"/>
    </row>
    <row r="642" ht="14.25" customHeight="1">
      <c r="X642" s="2"/>
    </row>
    <row r="643" ht="14.25" customHeight="1">
      <c r="X643" s="2"/>
    </row>
    <row r="644" ht="14.25" customHeight="1">
      <c r="X644" s="2"/>
    </row>
    <row r="645" ht="14.25" customHeight="1">
      <c r="X645" s="2"/>
    </row>
    <row r="646" ht="14.25" customHeight="1">
      <c r="X646" s="2"/>
    </row>
    <row r="647" ht="14.25" customHeight="1">
      <c r="X647" s="2"/>
    </row>
    <row r="648" ht="14.25" customHeight="1">
      <c r="X648" s="2"/>
    </row>
    <row r="649" ht="14.25" customHeight="1">
      <c r="X649" s="2"/>
    </row>
    <row r="650" ht="14.25" customHeight="1">
      <c r="X650" s="2"/>
    </row>
    <row r="651" ht="14.25" customHeight="1">
      <c r="X651" s="2"/>
    </row>
    <row r="652" ht="14.25" customHeight="1">
      <c r="X652" s="2"/>
    </row>
    <row r="653" ht="14.25" customHeight="1">
      <c r="X653" s="2"/>
    </row>
    <row r="654" ht="14.25" customHeight="1">
      <c r="X654" s="2"/>
    </row>
    <row r="655" ht="14.25" customHeight="1">
      <c r="X655" s="2"/>
    </row>
    <row r="656" ht="14.25" customHeight="1">
      <c r="X656" s="2"/>
    </row>
    <row r="657" ht="14.25" customHeight="1">
      <c r="X657" s="2"/>
    </row>
    <row r="658" ht="14.25" customHeight="1">
      <c r="X658" s="2"/>
    </row>
    <row r="659" ht="14.25" customHeight="1">
      <c r="X659" s="2"/>
    </row>
    <row r="660" ht="14.25" customHeight="1">
      <c r="X660" s="2"/>
    </row>
    <row r="661" ht="14.25" customHeight="1">
      <c r="X661" s="2"/>
    </row>
    <row r="662" ht="14.25" customHeight="1">
      <c r="X662" s="2"/>
    </row>
    <row r="663" ht="14.25" customHeight="1">
      <c r="X663" s="2"/>
    </row>
    <row r="664" ht="14.25" customHeight="1">
      <c r="X664" s="2"/>
    </row>
    <row r="665" ht="14.25" customHeight="1">
      <c r="X665" s="2"/>
    </row>
    <row r="666" ht="14.25" customHeight="1">
      <c r="X666" s="2"/>
    </row>
    <row r="667" ht="14.25" customHeight="1">
      <c r="X667" s="2"/>
    </row>
    <row r="668" ht="14.25" customHeight="1">
      <c r="X668" s="2"/>
    </row>
    <row r="669" ht="14.25" customHeight="1">
      <c r="X669" s="2"/>
    </row>
    <row r="670" ht="14.25" customHeight="1">
      <c r="X670" s="2"/>
    </row>
    <row r="671" ht="14.25" customHeight="1">
      <c r="X671" s="2"/>
    </row>
    <row r="672" ht="14.25" customHeight="1">
      <c r="X672" s="2"/>
    </row>
    <row r="673" ht="14.25" customHeight="1">
      <c r="X673" s="2"/>
    </row>
    <row r="674" ht="14.25" customHeight="1">
      <c r="X674" s="2"/>
    </row>
    <row r="675" ht="14.25" customHeight="1">
      <c r="X675" s="2"/>
    </row>
    <row r="676" ht="14.25" customHeight="1">
      <c r="X676" s="2"/>
    </row>
    <row r="677" ht="14.25" customHeight="1">
      <c r="X677" s="2"/>
    </row>
    <row r="678" ht="14.25" customHeight="1">
      <c r="X678" s="2"/>
    </row>
    <row r="679" ht="14.25" customHeight="1">
      <c r="X679" s="2"/>
    </row>
    <row r="680" ht="14.25" customHeight="1">
      <c r="X680" s="2"/>
    </row>
    <row r="681" ht="14.25" customHeight="1">
      <c r="X681" s="2"/>
    </row>
    <row r="682" ht="14.25" customHeight="1">
      <c r="X682" s="2"/>
    </row>
    <row r="683" ht="14.25" customHeight="1">
      <c r="X683" s="2"/>
    </row>
    <row r="684" ht="14.25" customHeight="1">
      <c r="X684" s="2"/>
    </row>
    <row r="685" ht="14.25" customHeight="1">
      <c r="X685" s="2"/>
    </row>
    <row r="686" ht="14.25" customHeight="1">
      <c r="X686" s="2"/>
    </row>
    <row r="687" ht="14.25" customHeight="1">
      <c r="X687" s="2"/>
    </row>
    <row r="688" ht="14.25" customHeight="1">
      <c r="X688" s="2"/>
    </row>
    <row r="689" ht="14.25" customHeight="1">
      <c r="X689" s="2"/>
    </row>
    <row r="690" ht="14.25" customHeight="1">
      <c r="X690" s="2"/>
    </row>
    <row r="691" ht="14.25" customHeight="1">
      <c r="X691" s="2"/>
    </row>
    <row r="692" ht="14.25" customHeight="1">
      <c r="X692" s="2"/>
    </row>
    <row r="693" ht="14.25" customHeight="1">
      <c r="X693" s="2"/>
    </row>
    <row r="694" ht="14.25" customHeight="1">
      <c r="X694" s="2"/>
    </row>
    <row r="695" ht="14.25" customHeight="1">
      <c r="X695" s="2"/>
    </row>
    <row r="696" ht="14.25" customHeight="1">
      <c r="X696" s="2"/>
    </row>
    <row r="697" ht="14.25" customHeight="1">
      <c r="X697" s="2"/>
    </row>
    <row r="698" ht="14.25" customHeight="1">
      <c r="X698" s="2"/>
    </row>
    <row r="699" ht="14.25" customHeight="1">
      <c r="X699" s="2"/>
    </row>
    <row r="700" ht="14.25" customHeight="1">
      <c r="X700" s="2"/>
    </row>
    <row r="701" ht="14.25" customHeight="1">
      <c r="X701" s="2"/>
    </row>
    <row r="702" ht="14.25" customHeight="1">
      <c r="X702" s="2"/>
    </row>
    <row r="703" ht="14.25" customHeight="1">
      <c r="X703" s="2"/>
    </row>
    <row r="704" ht="14.25" customHeight="1">
      <c r="X704" s="2"/>
    </row>
    <row r="705" ht="14.25" customHeight="1">
      <c r="X705" s="2"/>
    </row>
    <row r="706" ht="14.25" customHeight="1">
      <c r="X706" s="2"/>
    </row>
    <row r="707" ht="14.25" customHeight="1">
      <c r="X707" s="2"/>
    </row>
    <row r="708" ht="14.25" customHeight="1">
      <c r="X708" s="2"/>
    </row>
    <row r="709" ht="14.25" customHeight="1">
      <c r="X709" s="2"/>
    </row>
    <row r="710" ht="14.25" customHeight="1">
      <c r="X710" s="2"/>
    </row>
    <row r="711" ht="14.25" customHeight="1">
      <c r="X711" s="2"/>
    </row>
    <row r="712" ht="14.25" customHeight="1">
      <c r="X712" s="2"/>
    </row>
    <row r="713" ht="14.25" customHeight="1">
      <c r="X713" s="2"/>
    </row>
    <row r="714" ht="14.25" customHeight="1">
      <c r="X714" s="2"/>
    </row>
    <row r="715" ht="14.25" customHeight="1">
      <c r="X715" s="2"/>
    </row>
    <row r="716" ht="14.25" customHeight="1">
      <c r="X716" s="2"/>
    </row>
    <row r="717" ht="14.25" customHeight="1">
      <c r="X717" s="2"/>
    </row>
    <row r="718" ht="14.25" customHeight="1">
      <c r="X718" s="2"/>
    </row>
    <row r="719" ht="14.25" customHeight="1">
      <c r="X719" s="2"/>
    </row>
    <row r="720" ht="14.25" customHeight="1">
      <c r="X720" s="2"/>
    </row>
    <row r="721" ht="14.25" customHeight="1">
      <c r="X721" s="2"/>
    </row>
    <row r="722" ht="14.25" customHeight="1">
      <c r="X722" s="2"/>
    </row>
    <row r="723" ht="14.25" customHeight="1">
      <c r="X723" s="2"/>
    </row>
    <row r="724" ht="14.25" customHeight="1">
      <c r="X724" s="2"/>
    </row>
    <row r="725" ht="14.25" customHeight="1">
      <c r="X725" s="2"/>
    </row>
    <row r="726" ht="14.25" customHeight="1">
      <c r="X726" s="2"/>
    </row>
    <row r="727" ht="14.25" customHeight="1">
      <c r="X727" s="2"/>
    </row>
    <row r="728" ht="14.25" customHeight="1">
      <c r="X728" s="2"/>
    </row>
    <row r="729" ht="14.25" customHeight="1">
      <c r="X729" s="2"/>
    </row>
    <row r="730" ht="14.25" customHeight="1">
      <c r="X730" s="2"/>
    </row>
    <row r="731" ht="14.25" customHeight="1">
      <c r="X731" s="2"/>
    </row>
    <row r="732" ht="14.25" customHeight="1">
      <c r="X732" s="2"/>
    </row>
    <row r="733" ht="14.25" customHeight="1">
      <c r="X733" s="2"/>
    </row>
    <row r="734" ht="14.25" customHeight="1">
      <c r="X734" s="2"/>
    </row>
    <row r="735" ht="14.25" customHeight="1">
      <c r="X735" s="2"/>
    </row>
    <row r="736" ht="14.25" customHeight="1">
      <c r="X736" s="2"/>
    </row>
    <row r="737" ht="14.25" customHeight="1">
      <c r="X737" s="2"/>
    </row>
    <row r="738" ht="14.25" customHeight="1">
      <c r="X738" s="2"/>
    </row>
    <row r="739" ht="14.25" customHeight="1">
      <c r="X739" s="2"/>
    </row>
    <row r="740" ht="14.25" customHeight="1">
      <c r="X740" s="2"/>
    </row>
    <row r="741" ht="14.25" customHeight="1">
      <c r="X741" s="2"/>
    </row>
    <row r="742" ht="14.25" customHeight="1">
      <c r="X742" s="2"/>
    </row>
    <row r="743" ht="14.25" customHeight="1">
      <c r="X743" s="2"/>
    </row>
    <row r="744" ht="14.25" customHeight="1">
      <c r="X744" s="2"/>
    </row>
    <row r="745" ht="14.25" customHeight="1">
      <c r="X745" s="2"/>
    </row>
    <row r="746" ht="14.25" customHeight="1">
      <c r="X746" s="2"/>
    </row>
    <row r="747" ht="14.25" customHeight="1">
      <c r="X747" s="2"/>
    </row>
    <row r="748" ht="14.25" customHeight="1">
      <c r="X748" s="2"/>
    </row>
    <row r="749" ht="14.25" customHeight="1">
      <c r="X749" s="2"/>
    </row>
    <row r="750" ht="14.25" customHeight="1">
      <c r="X750" s="2"/>
    </row>
    <row r="751" ht="14.25" customHeight="1">
      <c r="X751" s="2"/>
    </row>
    <row r="752" ht="14.25" customHeight="1">
      <c r="X752" s="2"/>
    </row>
    <row r="753" ht="14.25" customHeight="1">
      <c r="X753" s="2"/>
    </row>
    <row r="754" ht="14.25" customHeight="1">
      <c r="X754" s="2"/>
    </row>
    <row r="755" ht="14.25" customHeight="1">
      <c r="X755" s="2"/>
    </row>
    <row r="756" ht="14.25" customHeight="1">
      <c r="X756" s="2"/>
    </row>
    <row r="757" ht="14.25" customHeight="1">
      <c r="X757" s="2"/>
    </row>
    <row r="758" ht="14.25" customHeight="1">
      <c r="X758" s="2"/>
    </row>
    <row r="759" ht="14.25" customHeight="1">
      <c r="X759" s="2"/>
    </row>
    <row r="760" ht="14.25" customHeight="1">
      <c r="X760" s="2"/>
    </row>
    <row r="761" ht="14.25" customHeight="1">
      <c r="X761" s="2"/>
    </row>
    <row r="762" ht="14.25" customHeight="1">
      <c r="X762" s="2"/>
    </row>
    <row r="763" ht="14.25" customHeight="1">
      <c r="X763" s="2"/>
    </row>
    <row r="764" ht="14.25" customHeight="1">
      <c r="X764" s="2"/>
    </row>
    <row r="765" ht="14.25" customHeight="1">
      <c r="X765" s="2"/>
    </row>
    <row r="766" ht="14.25" customHeight="1">
      <c r="X766" s="2"/>
    </row>
    <row r="767" ht="14.25" customHeight="1">
      <c r="X767" s="2"/>
    </row>
    <row r="768" ht="14.25" customHeight="1">
      <c r="X768" s="2"/>
    </row>
    <row r="769" ht="14.25" customHeight="1">
      <c r="X769" s="2"/>
    </row>
    <row r="770" ht="14.25" customHeight="1">
      <c r="X770" s="2"/>
    </row>
    <row r="771" ht="14.25" customHeight="1">
      <c r="X771" s="2"/>
    </row>
    <row r="772" ht="14.25" customHeight="1">
      <c r="X772" s="2"/>
    </row>
    <row r="773" ht="14.25" customHeight="1">
      <c r="X773" s="2"/>
    </row>
    <row r="774" ht="14.25" customHeight="1">
      <c r="X774" s="2"/>
    </row>
    <row r="775" ht="14.25" customHeight="1">
      <c r="X775" s="2"/>
    </row>
    <row r="776" ht="14.25" customHeight="1">
      <c r="X776" s="2"/>
    </row>
    <row r="777" ht="14.25" customHeight="1">
      <c r="X777" s="2"/>
    </row>
    <row r="778" ht="14.25" customHeight="1">
      <c r="X778" s="2"/>
    </row>
    <row r="779" ht="14.25" customHeight="1">
      <c r="X779" s="2"/>
    </row>
    <row r="780" ht="14.25" customHeight="1">
      <c r="X780" s="2"/>
    </row>
    <row r="781" ht="14.25" customHeight="1">
      <c r="X781" s="2"/>
    </row>
    <row r="782" ht="14.25" customHeight="1">
      <c r="X782" s="2"/>
    </row>
    <row r="783" ht="14.25" customHeight="1">
      <c r="X783" s="2"/>
    </row>
    <row r="784" ht="14.25" customHeight="1">
      <c r="X784" s="2"/>
    </row>
    <row r="785" ht="14.25" customHeight="1">
      <c r="X785" s="2"/>
    </row>
    <row r="786" ht="14.25" customHeight="1">
      <c r="X786" s="2"/>
    </row>
    <row r="787" ht="14.25" customHeight="1">
      <c r="X787" s="2"/>
    </row>
    <row r="788" ht="14.25" customHeight="1">
      <c r="X788" s="2"/>
    </row>
    <row r="789" ht="14.25" customHeight="1">
      <c r="X789" s="2"/>
    </row>
    <row r="790" ht="14.25" customHeight="1">
      <c r="X790" s="2"/>
    </row>
    <row r="791" ht="14.25" customHeight="1">
      <c r="X791" s="2"/>
    </row>
    <row r="792" ht="14.25" customHeight="1">
      <c r="X792" s="2"/>
    </row>
    <row r="793" ht="14.25" customHeight="1">
      <c r="X793" s="2"/>
    </row>
    <row r="794" ht="14.25" customHeight="1">
      <c r="X794" s="2"/>
    </row>
    <row r="795" ht="14.25" customHeight="1">
      <c r="X795" s="2"/>
    </row>
    <row r="796" ht="14.25" customHeight="1">
      <c r="X796" s="2"/>
    </row>
    <row r="797" ht="14.25" customHeight="1">
      <c r="X797" s="2"/>
    </row>
    <row r="798" ht="14.25" customHeight="1">
      <c r="X798" s="2"/>
    </row>
    <row r="799" ht="14.25" customHeight="1">
      <c r="X799" s="2"/>
    </row>
    <row r="800" ht="14.25" customHeight="1">
      <c r="X800" s="2"/>
    </row>
    <row r="801" ht="14.25" customHeight="1">
      <c r="X801" s="2"/>
    </row>
    <row r="802" ht="14.25" customHeight="1">
      <c r="X802" s="2"/>
    </row>
    <row r="803" ht="14.25" customHeight="1">
      <c r="X803" s="2"/>
    </row>
    <row r="804" ht="14.25" customHeight="1">
      <c r="X804" s="2"/>
    </row>
    <row r="805" ht="14.25" customHeight="1">
      <c r="X805" s="2"/>
    </row>
    <row r="806" ht="14.25" customHeight="1">
      <c r="X806" s="2"/>
    </row>
    <row r="807" ht="14.25" customHeight="1">
      <c r="X807" s="2"/>
    </row>
    <row r="808" ht="14.25" customHeight="1">
      <c r="X808" s="2"/>
    </row>
    <row r="809" ht="14.25" customHeight="1">
      <c r="X809" s="2"/>
    </row>
    <row r="810" ht="14.25" customHeight="1">
      <c r="X810" s="2"/>
    </row>
    <row r="811" ht="14.25" customHeight="1">
      <c r="X811" s="2"/>
    </row>
    <row r="812" ht="14.25" customHeight="1">
      <c r="X812" s="2"/>
    </row>
    <row r="813" ht="14.25" customHeight="1">
      <c r="X813" s="2"/>
    </row>
    <row r="814" ht="14.25" customHeight="1">
      <c r="X814" s="2"/>
    </row>
    <row r="815" ht="14.25" customHeight="1">
      <c r="X815" s="2"/>
    </row>
    <row r="816" ht="14.25" customHeight="1">
      <c r="X816" s="2"/>
    </row>
    <row r="817" ht="14.25" customHeight="1">
      <c r="X817" s="2"/>
    </row>
    <row r="818" ht="14.25" customHeight="1">
      <c r="X818" s="2"/>
    </row>
    <row r="819" ht="14.25" customHeight="1">
      <c r="X819" s="2"/>
    </row>
    <row r="820" ht="14.25" customHeight="1">
      <c r="X820" s="2"/>
    </row>
    <row r="821" ht="14.25" customHeight="1">
      <c r="X821" s="2"/>
    </row>
    <row r="822" ht="14.25" customHeight="1">
      <c r="X822" s="2"/>
    </row>
    <row r="823" ht="14.25" customHeight="1">
      <c r="X823" s="2"/>
    </row>
    <row r="824" ht="14.25" customHeight="1">
      <c r="X824" s="2"/>
    </row>
    <row r="825" ht="14.25" customHeight="1">
      <c r="X825" s="2"/>
    </row>
    <row r="826" ht="14.25" customHeight="1">
      <c r="X826" s="2"/>
    </row>
    <row r="827" ht="14.25" customHeight="1">
      <c r="X827" s="2"/>
    </row>
    <row r="828" ht="14.25" customHeight="1">
      <c r="X828" s="2"/>
    </row>
    <row r="829" ht="14.25" customHeight="1">
      <c r="X829" s="2"/>
    </row>
    <row r="830" ht="14.25" customHeight="1">
      <c r="X830" s="2"/>
    </row>
    <row r="831" ht="14.25" customHeight="1">
      <c r="X831" s="2"/>
    </row>
    <row r="832" ht="14.25" customHeight="1">
      <c r="X832" s="2"/>
    </row>
    <row r="833" ht="14.25" customHeight="1">
      <c r="X833" s="2"/>
    </row>
    <row r="834" ht="14.25" customHeight="1">
      <c r="X834" s="2"/>
    </row>
    <row r="835" ht="14.25" customHeight="1">
      <c r="X835" s="2"/>
    </row>
    <row r="836" ht="14.25" customHeight="1">
      <c r="X836" s="2"/>
    </row>
    <row r="837" ht="14.25" customHeight="1">
      <c r="X837" s="2"/>
    </row>
    <row r="838" ht="14.25" customHeight="1">
      <c r="X838" s="2"/>
    </row>
    <row r="839" ht="14.25" customHeight="1">
      <c r="X839" s="2"/>
    </row>
    <row r="840" ht="14.25" customHeight="1">
      <c r="X840" s="2"/>
    </row>
    <row r="841" ht="14.25" customHeight="1">
      <c r="X841" s="2"/>
    </row>
    <row r="842" ht="14.25" customHeight="1">
      <c r="X842" s="2"/>
    </row>
    <row r="843" ht="14.25" customHeight="1">
      <c r="X843" s="2"/>
    </row>
    <row r="844" ht="14.25" customHeight="1">
      <c r="X844" s="2"/>
    </row>
    <row r="845" ht="14.25" customHeight="1">
      <c r="X845" s="2"/>
    </row>
    <row r="846" ht="14.25" customHeight="1">
      <c r="X846" s="2"/>
    </row>
    <row r="847" ht="14.25" customHeight="1">
      <c r="X847" s="2"/>
    </row>
    <row r="848" ht="14.25" customHeight="1">
      <c r="X848" s="2"/>
    </row>
    <row r="849" ht="14.25" customHeight="1">
      <c r="X849" s="2"/>
    </row>
    <row r="850" ht="14.25" customHeight="1">
      <c r="X850" s="2"/>
    </row>
    <row r="851" ht="14.25" customHeight="1">
      <c r="X851" s="2"/>
    </row>
    <row r="852" ht="14.25" customHeight="1">
      <c r="X852" s="2"/>
    </row>
    <row r="853" ht="14.25" customHeight="1">
      <c r="X853" s="2"/>
    </row>
    <row r="854" ht="14.25" customHeight="1">
      <c r="X854" s="2"/>
    </row>
    <row r="855" ht="14.25" customHeight="1">
      <c r="X855" s="2"/>
    </row>
    <row r="856" ht="14.25" customHeight="1">
      <c r="X856" s="2"/>
    </row>
    <row r="857" ht="14.25" customHeight="1">
      <c r="X857" s="2"/>
    </row>
    <row r="858" ht="14.25" customHeight="1">
      <c r="X858" s="2"/>
    </row>
    <row r="859" ht="14.25" customHeight="1">
      <c r="X859" s="2"/>
    </row>
    <row r="860" ht="14.25" customHeight="1">
      <c r="X860" s="2"/>
    </row>
    <row r="861" ht="14.25" customHeight="1">
      <c r="X861" s="2"/>
    </row>
    <row r="862" ht="14.25" customHeight="1">
      <c r="X862" s="2"/>
    </row>
    <row r="863" ht="14.25" customHeight="1">
      <c r="X863" s="2"/>
    </row>
    <row r="864" ht="14.25" customHeight="1">
      <c r="X864" s="2"/>
    </row>
    <row r="865" ht="14.25" customHeight="1">
      <c r="X865" s="2"/>
    </row>
    <row r="866" ht="14.25" customHeight="1">
      <c r="X866" s="2"/>
    </row>
    <row r="867" ht="14.25" customHeight="1">
      <c r="X867" s="2"/>
    </row>
    <row r="868" ht="14.25" customHeight="1">
      <c r="X868" s="2"/>
    </row>
    <row r="869" ht="14.25" customHeight="1">
      <c r="X869" s="2"/>
    </row>
    <row r="870" ht="14.25" customHeight="1">
      <c r="X870" s="2"/>
    </row>
    <row r="871" ht="14.25" customHeight="1">
      <c r="X871" s="2"/>
    </row>
    <row r="872" ht="14.25" customHeight="1">
      <c r="X872" s="2"/>
    </row>
    <row r="873" ht="14.25" customHeight="1">
      <c r="X873" s="2"/>
    </row>
    <row r="874" ht="14.25" customHeight="1">
      <c r="X874" s="2"/>
    </row>
    <row r="875" ht="14.25" customHeight="1">
      <c r="X875" s="2"/>
    </row>
    <row r="876" ht="14.25" customHeight="1">
      <c r="X876" s="2"/>
    </row>
    <row r="877" ht="14.25" customHeight="1">
      <c r="X877" s="2"/>
    </row>
    <row r="878" ht="14.25" customHeight="1">
      <c r="X878" s="2"/>
    </row>
    <row r="879" ht="14.25" customHeight="1">
      <c r="X879" s="2"/>
    </row>
    <row r="880" ht="14.25" customHeight="1">
      <c r="X880" s="2"/>
    </row>
    <row r="881" ht="14.25" customHeight="1">
      <c r="X881" s="2"/>
    </row>
    <row r="882" ht="14.25" customHeight="1">
      <c r="X882" s="2"/>
    </row>
    <row r="883" ht="14.25" customHeight="1">
      <c r="X883" s="2"/>
    </row>
    <row r="884" ht="14.25" customHeight="1">
      <c r="X884" s="2"/>
    </row>
    <row r="885" ht="14.25" customHeight="1">
      <c r="X885" s="2"/>
    </row>
    <row r="886" ht="14.25" customHeight="1">
      <c r="X886" s="2"/>
    </row>
    <row r="887" ht="14.25" customHeight="1">
      <c r="X887" s="2"/>
    </row>
    <row r="888" ht="14.25" customHeight="1">
      <c r="X888" s="2"/>
    </row>
    <row r="889" ht="14.25" customHeight="1">
      <c r="X889" s="2"/>
    </row>
    <row r="890" ht="14.25" customHeight="1">
      <c r="X890" s="2"/>
    </row>
    <row r="891" ht="14.25" customHeight="1">
      <c r="X891" s="2"/>
    </row>
    <row r="892" ht="14.25" customHeight="1">
      <c r="X892" s="2"/>
    </row>
    <row r="893" ht="14.25" customHeight="1">
      <c r="X893" s="2"/>
    </row>
    <row r="894" ht="14.25" customHeight="1">
      <c r="X894" s="2"/>
    </row>
    <row r="895" ht="14.25" customHeight="1">
      <c r="X895" s="2"/>
    </row>
    <row r="896" ht="14.25" customHeight="1">
      <c r="X896" s="2"/>
    </row>
    <row r="897" ht="14.25" customHeight="1">
      <c r="X897" s="2"/>
    </row>
    <row r="898" ht="14.25" customHeight="1">
      <c r="X898" s="2"/>
    </row>
    <row r="899" ht="14.25" customHeight="1">
      <c r="X899" s="2"/>
    </row>
    <row r="900" ht="14.25" customHeight="1">
      <c r="X900" s="2"/>
    </row>
    <row r="901" ht="14.25" customHeight="1">
      <c r="X901" s="2"/>
    </row>
    <row r="902" ht="14.25" customHeight="1">
      <c r="X902" s="2"/>
    </row>
    <row r="903" ht="14.25" customHeight="1">
      <c r="X903" s="2"/>
    </row>
    <row r="904" ht="14.25" customHeight="1">
      <c r="X904" s="2"/>
    </row>
    <row r="905" ht="14.25" customHeight="1">
      <c r="X905" s="2"/>
    </row>
    <row r="906" ht="14.25" customHeight="1">
      <c r="X906" s="2"/>
    </row>
    <row r="907" ht="14.25" customHeight="1">
      <c r="X907" s="2"/>
    </row>
    <row r="908" ht="14.25" customHeight="1">
      <c r="X908" s="2"/>
    </row>
    <row r="909" ht="14.25" customHeight="1">
      <c r="X909" s="2"/>
    </row>
    <row r="910" ht="14.25" customHeight="1">
      <c r="X910" s="2"/>
    </row>
    <row r="911" ht="14.25" customHeight="1">
      <c r="X911" s="2"/>
    </row>
    <row r="912" ht="14.25" customHeight="1">
      <c r="X912" s="2"/>
    </row>
    <row r="913" ht="14.25" customHeight="1">
      <c r="X913" s="2"/>
    </row>
    <row r="914" ht="14.25" customHeight="1">
      <c r="X914" s="2"/>
    </row>
    <row r="915" ht="14.25" customHeight="1">
      <c r="X915" s="2"/>
    </row>
    <row r="916" ht="14.25" customHeight="1">
      <c r="X916" s="2"/>
    </row>
    <row r="917" ht="14.25" customHeight="1">
      <c r="X917" s="2"/>
    </row>
    <row r="918" ht="14.25" customHeight="1">
      <c r="X918" s="2"/>
    </row>
    <row r="919" ht="14.25" customHeight="1">
      <c r="X919" s="2"/>
    </row>
    <row r="920" ht="14.25" customHeight="1">
      <c r="X920" s="2"/>
    </row>
    <row r="921" ht="14.25" customHeight="1">
      <c r="X921" s="2"/>
    </row>
    <row r="922" ht="14.25" customHeight="1">
      <c r="X922" s="2"/>
    </row>
    <row r="923" ht="14.25" customHeight="1">
      <c r="X923" s="2"/>
    </row>
    <row r="924" ht="14.25" customHeight="1">
      <c r="X924" s="2"/>
    </row>
    <row r="925" ht="14.25" customHeight="1">
      <c r="X925" s="2"/>
    </row>
    <row r="926" ht="14.25" customHeight="1">
      <c r="X926" s="2"/>
    </row>
    <row r="927" ht="14.25" customHeight="1">
      <c r="X927" s="2"/>
    </row>
    <row r="928" ht="14.25" customHeight="1">
      <c r="X928" s="2"/>
    </row>
    <row r="929" ht="14.25" customHeight="1">
      <c r="X929" s="2"/>
    </row>
    <row r="930" ht="14.25" customHeight="1">
      <c r="X930" s="2"/>
    </row>
    <row r="931" ht="14.25" customHeight="1">
      <c r="X931" s="2"/>
    </row>
    <row r="932" ht="14.25" customHeight="1">
      <c r="X932" s="2"/>
    </row>
    <row r="933" ht="14.25" customHeight="1">
      <c r="X933" s="2"/>
    </row>
    <row r="934" ht="14.25" customHeight="1">
      <c r="X934" s="2"/>
    </row>
    <row r="935" ht="14.25" customHeight="1">
      <c r="X935" s="2"/>
    </row>
    <row r="936" ht="14.25" customHeight="1">
      <c r="X936" s="2"/>
    </row>
    <row r="937" ht="14.25" customHeight="1">
      <c r="X937" s="2"/>
    </row>
    <row r="938" ht="14.25" customHeight="1">
      <c r="X938" s="2"/>
    </row>
    <row r="939" ht="14.25" customHeight="1">
      <c r="X939" s="2"/>
    </row>
    <row r="940" ht="14.25" customHeight="1">
      <c r="X940" s="2"/>
    </row>
    <row r="941" ht="14.25" customHeight="1">
      <c r="X941" s="2"/>
    </row>
    <row r="942" ht="14.25" customHeight="1">
      <c r="X942" s="2"/>
    </row>
    <row r="943" ht="14.25" customHeight="1">
      <c r="X943" s="2"/>
    </row>
    <row r="944" ht="14.25" customHeight="1">
      <c r="X944" s="2"/>
    </row>
    <row r="945" ht="14.25" customHeight="1">
      <c r="X945" s="2"/>
    </row>
    <row r="946" ht="14.25" customHeight="1">
      <c r="X946" s="2"/>
    </row>
    <row r="947" ht="14.25" customHeight="1">
      <c r="X947" s="2"/>
    </row>
    <row r="948" ht="14.25" customHeight="1">
      <c r="X948" s="2"/>
    </row>
    <row r="949" ht="14.25" customHeight="1">
      <c r="X949" s="2"/>
    </row>
    <row r="950" ht="14.25" customHeight="1">
      <c r="X950" s="2"/>
    </row>
    <row r="951" ht="14.25" customHeight="1">
      <c r="X951" s="2"/>
    </row>
    <row r="952" ht="14.25" customHeight="1">
      <c r="X952" s="2"/>
    </row>
    <row r="953" ht="14.25" customHeight="1">
      <c r="X953" s="2"/>
    </row>
    <row r="954" ht="14.25" customHeight="1">
      <c r="X954" s="2"/>
    </row>
    <row r="955" ht="14.25" customHeight="1">
      <c r="X955" s="2"/>
    </row>
    <row r="956" ht="14.25" customHeight="1">
      <c r="X956" s="2"/>
    </row>
    <row r="957" ht="14.25" customHeight="1">
      <c r="X957" s="2"/>
    </row>
    <row r="958" ht="14.25" customHeight="1">
      <c r="X958" s="2"/>
    </row>
    <row r="959" ht="14.25" customHeight="1">
      <c r="X959" s="2"/>
    </row>
    <row r="960" ht="14.25" customHeight="1">
      <c r="X960" s="2"/>
    </row>
    <row r="961" ht="14.25" customHeight="1">
      <c r="X961" s="2"/>
    </row>
    <row r="962" ht="14.25" customHeight="1">
      <c r="X962" s="2"/>
    </row>
    <row r="963" ht="14.25" customHeight="1">
      <c r="X963" s="2"/>
    </row>
    <row r="964" ht="14.25" customHeight="1">
      <c r="X964" s="2"/>
    </row>
    <row r="965" ht="14.25" customHeight="1">
      <c r="X965" s="2"/>
    </row>
    <row r="966" ht="14.25" customHeight="1">
      <c r="X966" s="2"/>
    </row>
    <row r="967" ht="14.25" customHeight="1">
      <c r="X967" s="2"/>
    </row>
    <row r="968" ht="14.25" customHeight="1">
      <c r="X968" s="2"/>
    </row>
    <row r="969" ht="14.25" customHeight="1">
      <c r="X969" s="2"/>
    </row>
    <row r="970" ht="14.25" customHeight="1">
      <c r="X970" s="2"/>
    </row>
    <row r="971" ht="14.25" customHeight="1">
      <c r="X971" s="2"/>
    </row>
    <row r="972" ht="14.25" customHeight="1">
      <c r="X972" s="2"/>
    </row>
    <row r="973" ht="14.25" customHeight="1">
      <c r="X973" s="2"/>
    </row>
    <row r="974" ht="14.25" customHeight="1">
      <c r="X974" s="2"/>
    </row>
    <row r="975" ht="14.25" customHeight="1">
      <c r="X975" s="2"/>
    </row>
    <row r="976" ht="14.25" customHeight="1">
      <c r="X976" s="2"/>
    </row>
    <row r="977" ht="14.25" customHeight="1">
      <c r="X977" s="2"/>
    </row>
    <row r="978" ht="14.25" customHeight="1">
      <c r="X978" s="2"/>
    </row>
    <row r="979" ht="14.25" customHeight="1">
      <c r="X979" s="2"/>
    </row>
    <row r="980" ht="14.25" customHeight="1">
      <c r="X980" s="2"/>
    </row>
    <row r="981" ht="14.25" customHeight="1">
      <c r="X981" s="2"/>
    </row>
    <row r="982" ht="14.25" customHeight="1">
      <c r="X982" s="2"/>
    </row>
    <row r="983" ht="14.25" customHeight="1">
      <c r="X983" s="2"/>
    </row>
    <row r="984" ht="14.25" customHeight="1">
      <c r="X984" s="2"/>
    </row>
    <row r="985" ht="14.25" customHeight="1">
      <c r="X985" s="2"/>
    </row>
    <row r="986" ht="14.25" customHeight="1">
      <c r="X986" s="2"/>
    </row>
    <row r="987" ht="14.25" customHeight="1">
      <c r="X987" s="2"/>
    </row>
    <row r="988" ht="14.25" customHeight="1">
      <c r="X988" s="2"/>
    </row>
    <row r="989" ht="14.25" customHeight="1">
      <c r="X989" s="2"/>
    </row>
    <row r="990" ht="14.25" customHeight="1">
      <c r="X990" s="2"/>
    </row>
    <row r="991" ht="14.25" customHeight="1">
      <c r="X991" s="2"/>
    </row>
    <row r="992" ht="14.25" customHeight="1">
      <c r="X992" s="2"/>
    </row>
    <row r="993" ht="14.25" customHeight="1">
      <c r="X993" s="2"/>
    </row>
    <row r="994" ht="14.25" customHeight="1">
      <c r="X994" s="2"/>
    </row>
    <row r="995" ht="14.25" customHeight="1">
      <c r="X995" s="2"/>
    </row>
    <row r="996" ht="14.25" customHeight="1">
      <c r="X996" s="2"/>
    </row>
    <row r="997" ht="14.25" customHeight="1">
      <c r="X997" s="2"/>
    </row>
    <row r="998" ht="14.25" customHeight="1">
      <c r="X998" s="2"/>
    </row>
    <row r="999" ht="14.25" customHeight="1">
      <c r="X999" s="2"/>
    </row>
    <row r="1000" ht="14.25" customHeight="1">
      <c r="X1000" s="2"/>
    </row>
  </sheetData>
  <mergeCells count="3">
    <mergeCell ref="X4:X43"/>
    <mergeCell ref="X44:X50"/>
    <mergeCell ref="X51:X103"/>
  </mergeCells>
  <conditionalFormatting sqref="Y4:Z103">
    <cfRule type="cellIs" dxfId="0" priority="1" operator="equal">
      <formula>"Complex"</formula>
    </cfRule>
  </conditionalFormatting>
  <conditionalFormatting sqref="Y4:Z103">
    <cfRule type="cellIs" dxfId="1" priority="2" operator="equal">
      <formula>"Simple"</formula>
    </cfRule>
  </conditionalFormatting>
  <conditionalFormatting sqref="Y4:Z103">
    <cfRule type="cellIs" dxfId="2" priority="3" operator="equal">
      <formula>"Other"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652</v>
      </c>
      <c r="B1" s="23" t="s">
        <v>653</v>
      </c>
      <c r="H1" s="22" t="s">
        <v>652</v>
      </c>
      <c r="I1" s="24" t="s">
        <v>654</v>
      </c>
      <c r="K1" s="22" t="s">
        <v>652</v>
      </c>
      <c r="L1" s="24" t="s">
        <v>654</v>
      </c>
    </row>
    <row r="2">
      <c r="B2" s="24" t="s">
        <v>655</v>
      </c>
      <c r="I2" s="25" t="s">
        <v>656</v>
      </c>
      <c r="L2" s="25" t="s">
        <v>656</v>
      </c>
    </row>
    <row r="3">
      <c r="B3" s="25" t="s">
        <v>657</v>
      </c>
      <c r="I3" s="23" t="s">
        <v>658</v>
      </c>
      <c r="L3" s="23" t="s">
        <v>658</v>
      </c>
    </row>
  </sheetData>
  <mergeCells count="7">
    <mergeCell ref="C1:G3"/>
    <mergeCell ref="J1:J3"/>
    <mergeCell ref="M1:R3"/>
    <mergeCell ref="A2:A3"/>
    <mergeCell ref="H2:H3"/>
    <mergeCell ref="K2:K3"/>
    <mergeCell ref="A4:R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2026-02-27T05:21:38Z</dcterms:created>
</cp:coreProperties>
</file>